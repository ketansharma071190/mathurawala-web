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Channel Economics" sheetId="3" state="visible" r:id="rId3"/>
    <sheet name="Margin by Channel" sheetId="4" state="visible" r:id="rId4"/>
    <sheet name="Summary" sheetId="5" state="visible" r:id="rId5"/>
    <sheet name="Menu Costing" sheetId="6" state="visible" r:id="rId6"/>
    <sheet name="Base Preparations" sheetId="7" state="visible" r:id="rId7"/>
    <sheet name="Rate Card" sheetId="8" state="visible" r:id="rId8"/>
    <sheet name="Assumptions" sheetId="9" state="visible" r:id="rId9"/>
    <sheet name="Namkeen (Resale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0">
    <font>
      <name val="Calibri"/>
      <family val="2"/>
      <color theme="1"/>
      <sz val="11"/>
      <scheme val="minor"/>
    </font>
    <font>
      <b val="1"/>
      <color rgb="001F3A5F"/>
      <sz val="16"/>
    </font>
    <font/>
    <font>
      <b val="1"/>
      <color rgb="002E8B8B"/>
      <sz val="12"/>
    </font>
    <font>
      <i val="1"/>
      <color rgb="00888888"/>
    </font>
    <font>
      <b val="1"/>
      <color rgb="00FFFFFF"/>
      <sz val="11"/>
    </font>
    <font>
      <b val="1"/>
    </font>
    <font>
      <b val="1"/>
      <color rgb="001F3A5F"/>
    </font>
    <font>
      <b val="1"/>
      <color rgb="002E8B8B"/>
    </font>
    <font>
      <b val="1"/>
      <color rgb="00FFFFFF"/>
    </font>
    <font>
      <i val="1"/>
      <color rgb="00888888"/>
      <sz val="9"/>
    </font>
    <font>
      <b val="1"/>
      <color rgb="002E8B57"/>
    </font>
    <font>
      <b val="1"/>
      <color rgb="00B8860B"/>
    </font>
    <font>
      <b val="1"/>
      <color rgb="00B22222"/>
    </font>
    <font>
      <b val="1"/>
      <color rgb="001F3A5F"/>
      <sz val="13"/>
    </font>
    <font>
      <i val="1"/>
      <color rgb="00666666"/>
    </font>
    <font>
      <b val="1"/>
      <color rgb="00B22222"/>
      <sz val="12"/>
    </font>
    <font>
      <color rgb="00888888"/>
    </font>
    <font>
      <color rgb="00333333"/>
    </font>
    <font>
      <b val="1"/>
      <color rgb="000B253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D5"/>
      </patternFill>
    </fill>
    <fill>
      <patternFill patternType="solid">
        <fgColor rgb="00F4E9CE"/>
      </patternFill>
    </fill>
    <fill>
      <patternFill patternType="solid">
        <fgColor rgb="00C8A24B"/>
      </patternFill>
    </fill>
    <fill>
      <patternFill patternType="solid">
        <fgColor rgb="00C8961E"/>
      </patternFill>
    </fill>
    <fill>
      <patternFill patternType="solid">
        <fgColor rgb="00FDF0CE"/>
      </patternFill>
    </fill>
    <fill>
      <patternFill patternType="solid">
        <fgColor rgb="00F8D7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5" fillId="0" borderId="0" pivotButton="0" quotePrefix="0" xfId="0"/>
    <xf numFmtId="9" fontId="7" fillId="0" borderId="0" pivotButton="0" quotePrefix="0" xfId="0"/>
    <xf numFmtId="0" fontId="16" fillId="0" borderId="0" pivotButton="0" quotePrefix="0" xfId="0"/>
    <xf numFmtId="164" fontId="0" fillId="0" borderId="0" pivotButton="0" quotePrefix="0" xfId="0"/>
    <xf numFmtId="0" fontId="17" fillId="0" borderId="0" pivotButton="0" quotePrefix="0" xfId="0"/>
    <xf numFmtId="9" fontId="0" fillId="0" borderId="0" pivotButton="0" quotePrefix="0" xfId="0"/>
    <xf numFmtId="0" fontId="18" fillId="0" borderId="0" pivotButton="0" quotePrefix="0" xfId="0"/>
    <xf numFmtId="0" fontId="5" fillId="2" borderId="1" applyAlignment="1" pivotButton="0" quotePrefix="0" xfId="0">
      <alignment vertical="center"/>
    </xf>
    <xf numFmtId="2" fontId="0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11" fillId="0" borderId="1" pivotButton="0" quotePrefix="0" xfId="0"/>
    <xf numFmtId="9" fontId="12" fillId="0" borderId="1" pivotButton="0" quotePrefix="0" xfId="0"/>
    <xf numFmtId="9" fontId="13" fillId="0" borderId="1" pivotButton="0" quotePrefix="0" xfId="0"/>
    <xf numFmtId="0" fontId="9" fillId="5" borderId="0" pivotButton="0" quotePrefix="0" xfId="0"/>
    <xf numFmtId="0" fontId="0" fillId="5" borderId="0" pivotButton="0" quotePrefix="0" xfId="0"/>
    <xf numFmtId="0" fontId="7" fillId="4" borderId="0" pivotButton="0" quotePrefix="0" xfId="0"/>
    <xf numFmtId="0" fontId="0" fillId="4" borderId="0" pivotButton="0" quotePrefix="0" xfId="0"/>
    <xf numFmtId="2" fontId="6" fillId="4" borderId="0" pivotButton="0" quotePrefix="0" xfId="0"/>
    <xf numFmtId="9" fontId="0" fillId="4" borderId="0" pivotButton="0" quotePrefix="0" xfId="0"/>
    <xf numFmtId="2" fontId="0" fillId="4" borderId="0" pivotButton="0" quotePrefix="0" xfId="0"/>
    <xf numFmtId="0" fontId="10" fillId="4" borderId="0" pivotButton="0" quotePrefix="0" xfId="0"/>
    <xf numFmtId="0" fontId="6" fillId="4" borderId="0" pivotButton="0" quotePrefix="0" xfId="0"/>
    <xf numFmtId="0" fontId="8" fillId="4" borderId="0" pivotButton="0" quotePrefix="0" xfId="0"/>
    <xf numFmtId="0" fontId="2" fillId="0" borderId="1" pivotButton="0" quotePrefix="0" xfId="0"/>
    <xf numFmtId="0" fontId="0" fillId="3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14" fillId="0" borderId="0" pivotButton="0" quotePrefix="0" xfId="0"/>
    <xf numFmtId="0" fontId="9" fillId="2" borderId="0" pivotButton="0" quotePrefix="0" xfId="0"/>
    <xf numFmtId="9" fontId="0" fillId="3" borderId="0" pivotButton="0" quotePrefix="0" xfId="0"/>
    <xf numFmtId="0" fontId="6" fillId="0" borderId="0" pivotButton="0" quotePrefix="0" xfId="0"/>
    <xf numFmtId="0" fontId="4" fillId="0" borderId="1" pivotButton="0" quotePrefix="0" xfId="0"/>
    <xf numFmtId="164" fontId="0" fillId="0" borderId="0" pivotButton="0" quotePrefix="0" xfId="0"/>
    <xf numFmtId="0" fontId="19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Mathurawala — Costing Master</t>
        </is>
      </c>
    </row>
    <row r="2">
      <c r="B2" s="2" t="inlineStr">
        <is>
          <t>Per-dish cost, food-cost %, and margin for the full menu, built from the staff recipe sheet.</t>
        </is>
      </c>
    </row>
    <row r="3">
      <c r="B3" s="2" t="inlineStr"/>
    </row>
    <row r="4">
      <c r="B4" s="3" t="inlineStr">
        <is>
          <t>How it is organised</t>
        </is>
      </c>
    </row>
    <row r="5">
      <c r="B5" s="2" t="inlineStr">
        <is>
          <t>• Rate Card — every ingredient, normalised to a cost per kg/L/pc. EDIT prices here.</t>
        </is>
      </c>
    </row>
    <row r="6">
      <c r="B6" s="2" t="inlineStr">
        <is>
          <t>• Base Preparations — sub-recipes (masalas, chutneys, doughs, gravies) with batch cost + cost per unit.</t>
        </is>
      </c>
    </row>
    <row r="7">
      <c r="B7" s="2" t="inlineStr">
        <is>
          <t>• Menu Costing — each sold item: per-plate cost, dine-in price, food cost %, margin. EDIT prices here.</t>
        </is>
      </c>
    </row>
    <row r="8">
      <c r="B8" s="2" t="inlineStr">
        <is>
          <t>• Namkeen (Resale) — Ratlam GI namkeen + Jeeravan, bought-in margins.</t>
        </is>
      </c>
    </row>
    <row r="9">
      <c r="B9" s="2" t="inlineStr">
        <is>
          <t>• Summary — every dish ranked by margin %.</t>
        </is>
      </c>
    </row>
    <row r="10">
      <c r="B10" s="2" t="inlineStr"/>
    </row>
    <row r="11">
      <c r="B11" s="3" t="inlineStr">
        <is>
          <t>Price source of truth</t>
        </is>
      </c>
    </row>
    <row r="12">
      <c r="B12" s="2" t="inlineStr">
        <is>
          <t>• PetPooja is the master + live source for dine-in prices. Verify the yellow price cells against it.</t>
        </is>
      </c>
    </row>
    <row r="13">
      <c r="B13" s="2" t="inlineStr">
        <is>
          <t>• Zomato = aggregator pricing reference.</t>
        </is>
      </c>
    </row>
    <row r="14">
      <c r="B14" s="2" t="inlineStr">
        <is>
          <t>• Dine-in prices below are prefilled from the 07-Jun outlet board as a starting point.</t>
        </is>
      </c>
    </row>
    <row r="15">
      <c r="B15" s="2" t="inlineStr"/>
    </row>
    <row r="16">
      <c r="B16" s="3" t="inlineStr">
        <is>
          <t>Assumptions (documented, change if needed)</t>
        </is>
      </c>
    </row>
    <row r="17">
      <c r="B17" s="2" t="inlineStr">
        <is>
          <t>• Dal / chole / kadhi gravies: 1 plate = 180 g (from the rice-combo portion sizes).</t>
        </is>
      </c>
    </row>
    <row r="18">
      <c r="B18" s="2" t="inlineStr">
        <is>
          <t>• Chaat papdi: 1 pc = 8 g where a recipe lists papdi in pieces.</t>
        </is>
      </c>
    </row>
    <row r="19">
      <c r="B19" s="2" t="inlineStr">
        <is>
          <t>• Generic 'Dudh/Milk' costed as buffalo milk (₹72/L); 'Chena' costed from cow milk via its own recipe.</t>
        </is>
      </c>
    </row>
    <row r="20">
      <c r="B20" s="2" t="inlineStr">
        <is>
          <t>• Bread: 1 pack = 12 slices (₹80). Paani is free.</t>
        </is>
      </c>
    </row>
    <row r="21">
      <c r="B21" s="2" t="inlineStr">
        <is>
          <t>• Mathura Peda sugar confirmed as 240 g from recipe-capture (63) Mathurawala.xlsx.</t>
        </is>
      </c>
    </row>
    <row r="22">
      <c r="B22" s="2" t="inlineStr">
        <is>
          <t>• 'Namkeen' inside Raj Kachori costed as Barik Sev.</t>
        </is>
      </c>
    </row>
    <row r="23">
      <c r="B23" s="2" t="inlineStr"/>
    </row>
    <row r="24">
      <c r="B24" s="4" t="inlineStr">
        <is>
          <t>Costs are computed at current Rate Card prices. To refresh after a rate change, re-run scripts/build_costing_master.py.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B1" s="1" t="inlineStr">
        <is>
          <t>Mathurawala — Costing &amp; Margin Dashboard</t>
        </is>
      </c>
    </row>
    <row r="2">
      <c r="B2" s="5" t="inlineStr">
        <is>
          <t>Fully-loaded contribution (ingredients + LPG + dressing + packaging) by channel. Prices verify on PetPooja.</t>
        </is>
      </c>
    </row>
    <row r="4">
      <c r="B4" s="3" t="inlineStr">
        <is>
          <t>Blended margins (avg across menu)</t>
        </is>
      </c>
    </row>
    <row r="5">
      <c r="B5" s="2" t="inlineStr">
        <is>
          <t>Dine-in</t>
        </is>
      </c>
      <c r="C5" s="6" t="n">
        <v>0.6860000000000001</v>
      </c>
    </row>
    <row r="6">
      <c r="B6" s="2" t="inlineStr">
        <is>
          <t>Takeaway</t>
        </is>
      </c>
      <c r="C6" s="6" t="n">
        <v>0.546</v>
      </c>
    </row>
    <row r="7">
      <c r="B7" s="2" t="inlineStr">
        <is>
          <t>Aggregator (@+25%)</t>
        </is>
      </c>
      <c r="C7" s="6" t="n">
        <v>0.329</v>
      </c>
    </row>
    <row r="9">
      <c r="B9" s="7" t="inlineStr">
        <is>
          <t>The aggregator trap</t>
        </is>
      </c>
    </row>
    <row r="10">
      <c r="B10" s="2" t="inlineStr">
        <is>
          <t>1 items would LOSE money on aggregators if priced same as dine-in (42% commission).</t>
        </is>
      </c>
    </row>
    <row r="11">
      <c r="B11" s="2" t="inlineStr">
        <is>
          <t>Even at +25% aggregator price, 22 items still fall below 30% contribution.</t>
        </is>
      </c>
    </row>
    <row r="12">
      <c r="B12" s="5" t="inlineStr">
        <is>
          <t>→ Action: keep aggregator prices higher; push high-ticket combos there, cheap heroes to dine-in/pickup.</t>
        </is>
      </c>
    </row>
    <row r="14">
      <c r="B14" s="3" t="inlineStr">
        <is>
          <t>Best daytime earners (11am–4pm idle window) — ₹ contribution/plate</t>
        </is>
      </c>
    </row>
    <row r="15">
      <c r="B15" s="2" t="inlineStr">
        <is>
          <t>Dal Makhni Chawal</t>
        </is>
      </c>
      <c r="C15" s="40" t="n">
        <v>138.9</v>
      </c>
      <c r="D15" s="9" t="inlineStr">
        <is>
          <t>Rice</t>
        </is>
      </c>
    </row>
    <row r="16">
      <c r="B16" s="2" t="inlineStr">
        <is>
          <t>Chole Chawal</t>
        </is>
      </c>
      <c r="C16" s="40" t="n">
        <v>113.9</v>
      </c>
      <c r="D16" s="9" t="inlineStr">
        <is>
          <t>Rice</t>
        </is>
      </c>
    </row>
    <row r="17">
      <c r="B17" s="2" t="inlineStr">
        <is>
          <t>Chole Bhature</t>
        </is>
      </c>
      <c r="C17" s="40" t="n">
        <v>113.3</v>
      </c>
      <c r="D17" s="9" t="inlineStr">
        <is>
          <t>Chole Wala</t>
        </is>
      </c>
    </row>
    <row r="18">
      <c r="B18" s="2" t="inlineStr">
        <is>
          <t>Rajma Chawal</t>
        </is>
      </c>
      <c r="C18" s="40" t="n">
        <v>105.1</v>
      </c>
      <c r="D18" s="9" t="inlineStr">
        <is>
          <t>Rice</t>
        </is>
      </c>
    </row>
    <row r="19">
      <c r="B19" s="2" t="inlineStr">
        <is>
          <t>Dal Tadka Chawal</t>
        </is>
      </c>
      <c r="C19" s="40" t="n">
        <v>105</v>
      </c>
      <c r="D19" s="9" t="inlineStr">
        <is>
          <t>Rice</t>
        </is>
      </c>
    </row>
    <row r="20">
      <c r="B20" s="2" t="inlineStr">
        <is>
          <t>Kadhi Chawal</t>
        </is>
      </c>
      <c r="C20" s="40" t="n">
        <v>103.9</v>
      </c>
      <c r="D20" s="9" t="inlineStr">
        <is>
          <t>Rice</t>
        </is>
      </c>
    </row>
    <row r="22">
      <c r="B22" s="7" t="inlineStr">
        <is>
          <t>Thinnest items after loading fuel (fix price or cost)</t>
        </is>
      </c>
    </row>
    <row r="23">
      <c r="B23" s="2" t="inlineStr">
        <is>
          <t>Mirchi Bada</t>
        </is>
      </c>
      <c r="C23" s="10" t="n">
        <v>0.328</v>
      </c>
      <c r="D23" s="9" t="inlineStr">
        <is>
          <t>₹40</t>
        </is>
      </c>
    </row>
    <row r="24">
      <c r="B24" s="2" t="inlineStr">
        <is>
          <t>Bread Pakoda</t>
        </is>
      </c>
      <c r="C24" s="10" t="n">
        <v>0.426</v>
      </c>
      <c r="D24" s="9" t="inlineStr">
        <is>
          <t>₹35</t>
        </is>
      </c>
    </row>
    <row r="25">
      <c r="B25" s="2" t="inlineStr">
        <is>
          <t>Thandai</t>
        </is>
      </c>
      <c r="C25" s="10" t="n">
        <v>0.458</v>
      </c>
      <c r="D25" s="9" t="inlineStr">
        <is>
          <t>₹150</t>
        </is>
      </c>
    </row>
    <row r="26">
      <c r="B26" s="2" t="inlineStr">
        <is>
          <t>Moong Bhajiya</t>
        </is>
      </c>
      <c r="C26" s="10" t="n">
        <v>0.472</v>
      </c>
      <c r="D26" s="9" t="inlineStr">
        <is>
          <t>₹50</t>
        </is>
      </c>
    </row>
    <row r="27">
      <c r="B27" s="2" t="inlineStr">
        <is>
          <t>Paneer Pakora</t>
        </is>
      </c>
      <c r="C27" s="10" t="n">
        <v>0.484</v>
      </c>
      <c r="D27" s="9" t="inlineStr">
        <is>
          <t>₹99</t>
        </is>
      </c>
    </row>
    <row r="28">
      <c r="B28" s="2" t="inlineStr">
        <is>
          <t>Dal Kachori (plain)</t>
        </is>
      </c>
      <c r="C28" s="10" t="n">
        <v>0.495</v>
      </c>
      <c r="D28" s="9" t="inlineStr">
        <is>
          <t>₹25</t>
        </is>
      </c>
    </row>
    <row r="30">
      <c r="B30" s="3" t="inlineStr">
        <is>
          <t>Biggest COGS levers (negotiate these first)</t>
        </is>
      </c>
    </row>
    <row r="31">
      <c r="B31" s="11" t="inlineStr">
        <is>
          <t>Refined oil ₹172/kg · Desi ghee ₹493/kg · Buffalo milk ₹72/L · Paneer ₹280/kg · Khoya ₹230–250/kg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3" customWidth="1" min="4" max="4"/>
    <col width="8" customWidth="1" min="5" max="5"/>
    <col width="10" customWidth="1" min="6" max="6"/>
    <col width="12" customWidth="1" min="7" max="7"/>
    <col width="12" customWidth="1" min="8" max="8"/>
    <col width="13" customWidth="1" min="9" max="9"/>
    <col width="8" customWidth="1" min="10" max="10"/>
    <col width="11" customWidth="1" min="11" max="11"/>
    <col width="8" customWidth="1" min="12" max="12"/>
    <col width="16" customWidth="1" min="13" max="13"/>
    <col width="8" customWidth="1" min="14" max="14"/>
    <col width="11" customWidth="1" min="15" max="15"/>
    <col width="8" customWidth="1" min="16" max="16"/>
    <col width="11" customWidth="1" min="17" max="17"/>
    <col width="14" customWidth="1" min="18" max="18"/>
    <col width="8" customWidth="1" min="19" max="19"/>
  </cols>
  <sheetData>
    <row r="1">
      <c r="A1" s="12" t="inlineStr">
        <is>
          <t>Dish</t>
        </is>
      </c>
      <c r="B1" s="12" t="inlineStr">
        <is>
          <t>Category</t>
        </is>
      </c>
      <c r="C1" s="12" t="inlineStr">
        <is>
          <t>Cook</t>
        </is>
      </c>
      <c r="D1" s="12" t="inlineStr">
        <is>
          <t>Ingredients ₹</t>
        </is>
      </c>
      <c r="E1" s="12" t="inlineStr">
        <is>
          <t>LPG ₹</t>
        </is>
      </c>
      <c r="F1" s="12" t="inlineStr">
        <is>
          <t>Dressing ₹</t>
        </is>
      </c>
      <c r="G1" s="12" t="inlineStr">
        <is>
          <t>Loaded Cost ₹</t>
        </is>
      </c>
      <c r="H1" s="12" t="inlineStr">
        <is>
          <t>DINE-IN Price</t>
        </is>
      </c>
      <c r="I1" s="12" t="inlineStr">
        <is>
          <t>Dine Contrib ₹</t>
        </is>
      </c>
      <c r="J1" s="12" t="inlineStr">
        <is>
          <t>Dine %</t>
        </is>
      </c>
      <c r="K1" s="12" t="inlineStr">
        <is>
          <t>Pack Tier</t>
        </is>
      </c>
      <c r="L1" s="12" t="inlineStr">
        <is>
          <t>Pack ₹</t>
        </is>
      </c>
      <c r="M1" s="12" t="inlineStr">
        <is>
          <t>TAKEAWAY Contrib ₹</t>
        </is>
      </c>
      <c r="N1" s="12" t="inlineStr">
        <is>
          <t>TA %</t>
        </is>
      </c>
      <c r="O1" s="12" t="inlineStr">
        <is>
          <t>AGG Price</t>
        </is>
      </c>
      <c r="P1" s="12" t="inlineStr">
        <is>
          <t>Comm %</t>
        </is>
      </c>
      <c r="Q1" s="12" t="inlineStr">
        <is>
          <t>Agg Net ₹</t>
        </is>
      </c>
      <c r="R1" s="12" t="inlineStr">
        <is>
          <t>AGG Contrib ₹</t>
        </is>
      </c>
      <c r="S1" s="12" t="inlineStr">
        <is>
          <t>Agg %</t>
        </is>
      </c>
    </row>
    <row r="2">
      <c r="A2" t="inlineStr">
        <is>
          <t>Aloo Chaat</t>
        </is>
      </c>
      <c r="B2" t="inlineStr">
        <is>
          <t>Chaat Wala</t>
        </is>
      </c>
      <c r="C2" t="inlineStr">
        <is>
          <t>Assembled</t>
        </is>
      </c>
      <c r="D2" s="13" t="n">
        <v>11.22</v>
      </c>
      <c r="E2" s="13">
        <f>VLOOKUP(C2,Assumptions!$A$4:$B$9,2,FALSE)</f>
        <v/>
      </c>
      <c r="F2" s="13" t="n">
        <v>2</v>
      </c>
      <c r="G2" s="13">
        <f>D2+E2+F2</f>
        <v/>
      </c>
      <c r="H2" s="14" t="n">
        <v>70</v>
      </c>
      <c r="I2" s="13">
        <f>H2-G2</f>
        <v/>
      </c>
      <c r="J2" s="10">
        <f>IF(H2=0,"",I2/H2)</f>
        <v/>
      </c>
      <c r="K2" t="inlineStr">
        <is>
          <t>Medium</t>
        </is>
      </c>
      <c r="L2" s="13">
        <f>VLOOKUP(K2,Assumptions!$A$12:$B$17,2,FALSE)</f>
        <v/>
      </c>
      <c r="M2" s="13">
        <f>H2-G2-L2</f>
        <v/>
      </c>
      <c r="N2" s="10">
        <f>IF(H2=0,"",M2/H2)</f>
        <v/>
      </c>
      <c r="O2" s="14" t="n">
        <v>88</v>
      </c>
      <c r="P2" s="10">
        <f>Assumptions!$B$19</f>
        <v/>
      </c>
      <c r="Q2" s="13">
        <f>O2*(1-P2)</f>
        <v/>
      </c>
      <c r="R2" s="13">
        <f>Q2-G2</f>
        <v/>
      </c>
      <c r="S2" s="10">
        <f>IF(O2=0,"",R2/O2)</f>
        <v/>
      </c>
    </row>
    <row r="3">
      <c r="A3" t="inlineStr">
        <is>
          <t>Aloo Tikki</t>
        </is>
      </c>
      <c r="B3" t="inlineStr">
        <is>
          <t>Chaat Wala</t>
        </is>
      </c>
      <c r="C3" t="inlineStr">
        <is>
          <t>Deep-fry</t>
        </is>
      </c>
      <c r="D3" s="13" t="n">
        <v>22.11</v>
      </c>
      <c r="E3" s="13">
        <f>VLOOKUP(C3,Assumptions!$A$4:$B$9,2,FALSE)</f>
        <v/>
      </c>
      <c r="F3" s="13" t="n">
        <v>2</v>
      </c>
      <c r="G3" s="13">
        <f>D3+E3+F3</f>
        <v/>
      </c>
      <c r="H3" s="14" t="n">
        <v>90</v>
      </c>
      <c r="I3" s="13">
        <f>H3-G3</f>
        <v/>
      </c>
      <c r="J3" s="10">
        <f>IF(H3=0,"",I3/H3)</f>
        <v/>
      </c>
      <c r="K3" t="inlineStr">
        <is>
          <t>Medium</t>
        </is>
      </c>
      <c r="L3" s="13">
        <f>VLOOKUP(K3,Assumptions!$A$12:$B$17,2,FALSE)</f>
        <v/>
      </c>
      <c r="M3" s="13">
        <f>H3-G3-L3</f>
        <v/>
      </c>
      <c r="N3" s="10">
        <f>IF(H3=0,"",M3/H3)</f>
        <v/>
      </c>
      <c r="O3" s="14" t="n">
        <v>112</v>
      </c>
      <c r="P3" s="10">
        <f>Assumptions!$B$19</f>
        <v/>
      </c>
      <c r="Q3" s="13">
        <f>O3*(1-P3)</f>
        <v/>
      </c>
      <c r="R3" s="13">
        <f>Q3-G3</f>
        <v/>
      </c>
      <c r="S3" s="10">
        <f>IF(O3=0,"",R3/O3)</f>
        <v/>
      </c>
    </row>
    <row r="4">
      <c r="A4" t="inlineStr">
        <is>
          <t>Chole Kachori Chaat</t>
        </is>
      </c>
      <c r="B4" t="inlineStr">
        <is>
          <t>Chaat Wala</t>
        </is>
      </c>
      <c r="C4" t="inlineStr">
        <is>
          <t>Deep-fry</t>
        </is>
      </c>
      <c r="D4" s="13" t="n">
        <v>21.45</v>
      </c>
      <c r="E4" s="13">
        <f>VLOOKUP(C4,Assumptions!$A$4:$B$9,2,FALSE)</f>
        <v/>
      </c>
      <c r="F4" s="13" t="n">
        <v>2</v>
      </c>
      <c r="G4" s="13">
        <f>D4+E4+F4</f>
        <v/>
      </c>
      <c r="H4" s="14" t="n">
        <v>70</v>
      </c>
      <c r="I4" s="13">
        <f>H4-G4</f>
        <v/>
      </c>
      <c r="J4" s="10">
        <f>IF(H4=0,"",I4/H4)</f>
        <v/>
      </c>
      <c r="K4" t="inlineStr">
        <is>
          <t>Medium</t>
        </is>
      </c>
      <c r="L4" s="13">
        <f>VLOOKUP(K4,Assumptions!$A$12:$B$17,2,FALSE)</f>
        <v/>
      </c>
      <c r="M4" s="13">
        <f>H4-G4-L4</f>
        <v/>
      </c>
      <c r="N4" s="10">
        <f>IF(H4=0,"",M4/H4)</f>
        <v/>
      </c>
      <c r="O4" s="14" t="n">
        <v>88</v>
      </c>
      <c r="P4" s="10">
        <f>Assumptions!$B$19</f>
        <v/>
      </c>
      <c r="Q4" s="13">
        <f>O4*(1-P4)</f>
        <v/>
      </c>
      <c r="R4" s="13">
        <f>Q4-G4</f>
        <v/>
      </c>
      <c r="S4" s="10">
        <f>IF(O4=0,"",R4/O4)</f>
        <v/>
      </c>
    </row>
    <row r="5">
      <c r="A5" t="inlineStr">
        <is>
          <t>Chole Samosa Chaat</t>
        </is>
      </c>
      <c r="B5" t="inlineStr">
        <is>
          <t>Chaat Wala</t>
        </is>
      </c>
      <c r="C5" t="inlineStr">
        <is>
          <t>Deep-fry</t>
        </is>
      </c>
      <c r="D5" s="13" t="n">
        <v>18.38</v>
      </c>
      <c r="E5" s="13">
        <f>VLOOKUP(C5,Assumptions!$A$4:$B$9,2,FALSE)</f>
        <v/>
      </c>
      <c r="F5" s="13" t="n">
        <v>2</v>
      </c>
      <c r="G5" s="13">
        <f>D5+E5+F5</f>
        <v/>
      </c>
      <c r="H5" s="14" t="n">
        <v>70</v>
      </c>
      <c r="I5" s="13">
        <f>H5-G5</f>
        <v/>
      </c>
      <c r="J5" s="10">
        <f>IF(H5=0,"",I5/H5)</f>
        <v/>
      </c>
      <c r="K5" t="inlineStr">
        <is>
          <t>Medium</t>
        </is>
      </c>
      <c r="L5" s="13">
        <f>VLOOKUP(K5,Assumptions!$A$12:$B$17,2,FALSE)</f>
        <v/>
      </c>
      <c r="M5" s="13">
        <f>H5-G5-L5</f>
        <v/>
      </c>
      <c r="N5" s="10">
        <f>IF(H5=0,"",M5/H5)</f>
        <v/>
      </c>
      <c r="O5" s="14" t="n">
        <v>88</v>
      </c>
      <c r="P5" s="10">
        <f>Assumptions!$B$19</f>
        <v/>
      </c>
      <c r="Q5" s="13">
        <f>O5*(1-P5)</f>
        <v/>
      </c>
      <c r="R5" s="13">
        <f>Q5-G5</f>
        <v/>
      </c>
      <c r="S5" s="10">
        <f>IF(O5=0,"",R5/O5)</f>
        <v/>
      </c>
    </row>
    <row r="6">
      <c r="A6" t="inlineStr">
        <is>
          <t>Dahi Bhalla</t>
        </is>
      </c>
      <c r="B6" t="inlineStr">
        <is>
          <t>Chaat Wala</t>
        </is>
      </c>
      <c r="C6" t="inlineStr">
        <is>
          <t>Deep-fry</t>
        </is>
      </c>
      <c r="D6" s="13" t="n">
        <v>23.51</v>
      </c>
      <c r="E6" s="13">
        <f>VLOOKUP(C6,Assumptions!$A$4:$B$9,2,FALSE)</f>
        <v/>
      </c>
      <c r="F6" s="13" t="n">
        <v>2</v>
      </c>
      <c r="G6" s="13">
        <f>D6+E6+F6</f>
        <v/>
      </c>
      <c r="H6" s="14" t="n">
        <v>90</v>
      </c>
      <c r="I6" s="13">
        <f>H6-G6</f>
        <v/>
      </c>
      <c r="J6" s="10">
        <f>IF(H6=0,"",I6/H6)</f>
        <v/>
      </c>
      <c r="K6" t="inlineStr">
        <is>
          <t>Medium</t>
        </is>
      </c>
      <c r="L6" s="13">
        <f>VLOOKUP(K6,Assumptions!$A$12:$B$17,2,FALSE)</f>
        <v/>
      </c>
      <c r="M6" s="13">
        <f>H6-G6-L6</f>
        <v/>
      </c>
      <c r="N6" s="10">
        <f>IF(H6=0,"",M6/H6)</f>
        <v/>
      </c>
      <c r="O6" s="14" t="n">
        <v>112</v>
      </c>
      <c r="P6" s="10">
        <f>Assumptions!$B$19</f>
        <v/>
      </c>
      <c r="Q6" s="13">
        <f>O6*(1-P6)</f>
        <v/>
      </c>
      <c r="R6" s="13">
        <f>Q6-G6</f>
        <v/>
      </c>
      <c r="S6" s="10">
        <f>IF(O6=0,"",R6/O6)</f>
        <v/>
      </c>
    </row>
    <row r="7">
      <c r="A7" t="inlineStr">
        <is>
          <t>Dahi Bhalla Papdi</t>
        </is>
      </c>
      <c r="B7" t="inlineStr">
        <is>
          <t>Chaat Wala</t>
        </is>
      </c>
      <c r="C7" t="inlineStr">
        <is>
          <t>Deep-fry</t>
        </is>
      </c>
      <c r="D7" s="13" t="n">
        <v>21.31</v>
      </c>
      <c r="E7" s="13">
        <f>VLOOKUP(C7,Assumptions!$A$4:$B$9,2,FALSE)</f>
        <v/>
      </c>
      <c r="F7" s="13" t="n">
        <v>2</v>
      </c>
      <c r="G7" s="13">
        <f>D7+E7+F7</f>
        <v/>
      </c>
      <c r="H7" s="14" t="n">
        <v>110</v>
      </c>
      <c r="I7" s="13">
        <f>H7-G7</f>
        <v/>
      </c>
      <c r="J7" s="10">
        <f>IF(H7=0,"",I7/H7)</f>
        <v/>
      </c>
      <c r="K7" t="inlineStr">
        <is>
          <t>Medium</t>
        </is>
      </c>
      <c r="L7" s="13">
        <f>VLOOKUP(K7,Assumptions!$A$12:$B$17,2,FALSE)</f>
        <v/>
      </c>
      <c r="M7" s="13">
        <f>H7-G7-L7</f>
        <v/>
      </c>
      <c r="N7" s="10">
        <f>IF(H7=0,"",M7/H7)</f>
        <v/>
      </c>
      <c r="O7" s="14" t="n">
        <v>138</v>
      </c>
      <c r="P7" s="10">
        <f>Assumptions!$B$19</f>
        <v/>
      </c>
      <c r="Q7" s="13">
        <f>O7*(1-P7)</f>
        <v/>
      </c>
      <c r="R7" s="13">
        <f>Q7-G7</f>
        <v/>
      </c>
      <c r="S7" s="10">
        <f>IF(O7=0,"",R7/O7)</f>
        <v/>
      </c>
    </row>
    <row r="8">
      <c r="A8" t="inlineStr">
        <is>
          <t>Dahi Kachori Chaat</t>
        </is>
      </c>
      <c r="B8" t="inlineStr">
        <is>
          <t>Chaat Wala</t>
        </is>
      </c>
      <c r="C8" t="inlineStr">
        <is>
          <t>Deep-fry</t>
        </is>
      </c>
      <c r="D8" s="13" t="n">
        <v>13.41</v>
      </c>
      <c r="E8" s="13">
        <f>VLOOKUP(C8,Assumptions!$A$4:$B$9,2,FALSE)</f>
        <v/>
      </c>
      <c r="F8" s="13" t="n">
        <v>2</v>
      </c>
      <c r="G8" s="13">
        <f>D8+E8+F8</f>
        <v/>
      </c>
      <c r="H8" s="14" t="n">
        <v>60</v>
      </c>
      <c r="I8" s="13">
        <f>H8-G8</f>
        <v/>
      </c>
      <c r="J8" s="10">
        <f>IF(H8=0,"",I8/H8)</f>
        <v/>
      </c>
      <c r="K8" t="inlineStr">
        <is>
          <t>Medium</t>
        </is>
      </c>
      <c r="L8" s="13">
        <f>VLOOKUP(K8,Assumptions!$A$12:$B$17,2,FALSE)</f>
        <v/>
      </c>
      <c r="M8" s="13">
        <f>H8-G8-L8</f>
        <v/>
      </c>
      <c r="N8" s="10">
        <f>IF(H8=0,"",M8/H8)</f>
        <v/>
      </c>
      <c r="O8" s="14" t="n">
        <v>75</v>
      </c>
      <c r="P8" s="10">
        <f>Assumptions!$B$19</f>
        <v/>
      </c>
      <c r="Q8" s="13">
        <f>O8*(1-P8)</f>
        <v/>
      </c>
      <c r="R8" s="13">
        <f>Q8-G8</f>
        <v/>
      </c>
      <c r="S8" s="10">
        <f>IF(O8=0,"",R8/O8)</f>
        <v/>
      </c>
    </row>
    <row r="9">
      <c r="A9" t="inlineStr">
        <is>
          <t>Dahi Papri Chaat</t>
        </is>
      </c>
      <c r="B9" t="inlineStr">
        <is>
          <t>Chaat Wala</t>
        </is>
      </c>
      <c r="C9" t="inlineStr">
        <is>
          <t>Assembled</t>
        </is>
      </c>
      <c r="D9" s="13" t="n">
        <v>24.77</v>
      </c>
      <c r="E9" s="13">
        <f>VLOOKUP(C9,Assumptions!$A$4:$B$9,2,FALSE)</f>
        <v/>
      </c>
      <c r="F9" s="13" t="n">
        <v>2</v>
      </c>
      <c r="G9" s="13">
        <f>D9+E9+F9</f>
        <v/>
      </c>
      <c r="H9" s="14" t="n">
        <v>90</v>
      </c>
      <c r="I9" s="13">
        <f>H9-G9</f>
        <v/>
      </c>
      <c r="J9" s="10">
        <f>IF(H9=0,"",I9/H9)</f>
        <v/>
      </c>
      <c r="K9" t="inlineStr">
        <is>
          <t>Medium</t>
        </is>
      </c>
      <c r="L9" s="13">
        <f>VLOOKUP(K9,Assumptions!$A$12:$B$17,2,FALSE)</f>
        <v/>
      </c>
      <c r="M9" s="13">
        <f>H9-G9-L9</f>
        <v/>
      </c>
      <c r="N9" s="10">
        <f>IF(H9=0,"",M9/H9)</f>
        <v/>
      </c>
      <c r="O9" s="14" t="n">
        <v>112</v>
      </c>
      <c r="P9" s="10">
        <f>Assumptions!$B$19</f>
        <v/>
      </c>
      <c r="Q9" s="13">
        <f>O9*(1-P9)</f>
        <v/>
      </c>
      <c r="R9" s="13">
        <f>Q9-G9</f>
        <v/>
      </c>
      <c r="S9" s="10">
        <f>IF(O9=0,"",R9/O9)</f>
        <v/>
      </c>
    </row>
    <row r="10">
      <c r="A10" t="inlineStr">
        <is>
          <t>Dahi Samosa Chaat</t>
        </is>
      </c>
      <c r="B10" t="inlineStr">
        <is>
          <t>Chaat Wala</t>
        </is>
      </c>
      <c r="C10" t="inlineStr">
        <is>
          <t>Deep-fry</t>
        </is>
      </c>
      <c r="D10" s="13" t="n">
        <v>14.25</v>
      </c>
      <c r="E10" s="13">
        <f>VLOOKUP(C10,Assumptions!$A$4:$B$9,2,FALSE)</f>
        <v/>
      </c>
      <c r="F10" s="13" t="n">
        <v>2</v>
      </c>
      <c r="G10" s="13">
        <f>D10+E10+F10</f>
        <v/>
      </c>
      <c r="H10" s="14" t="n">
        <v>60</v>
      </c>
      <c r="I10" s="13">
        <f>H10-G10</f>
        <v/>
      </c>
      <c r="J10" s="10">
        <f>IF(H10=0,"",I10/H10)</f>
        <v/>
      </c>
      <c r="K10" t="inlineStr">
        <is>
          <t>Medium</t>
        </is>
      </c>
      <c r="L10" s="13">
        <f>VLOOKUP(K10,Assumptions!$A$12:$B$17,2,FALSE)</f>
        <v/>
      </c>
      <c r="M10" s="13">
        <f>H10-G10-L10</f>
        <v/>
      </c>
      <c r="N10" s="10">
        <f>IF(H10=0,"",M10/H10)</f>
        <v/>
      </c>
      <c r="O10" s="14" t="n">
        <v>75</v>
      </c>
      <c r="P10" s="10">
        <f>Assumptions!$B$19</f>
        <v/>
      </c>
      <c r="Q10" s="13">
        <f>O10*(1-P10)</f>
        <v/>
      </c>
      <c r="R10" s="13">
        <f>Q10-G10</f>
        <v/>
      </c>
      <c r="S10" s="10">
        <f>IF(O10=0,"",R10/O10)</f>
        <v/>
      </c>
    </row>
    <row r="11">
      <c r="A11" t="inlineStr">
        <is>
          <t>Papri Chaat</t>
        </is>
      </c>
      <c r="B11" t="inlineStr">
        <is>
          <t>Chaat Wala</t>
        </is>
      </c>
      <c r="C11" t="inlineStr">
        <is>
          <t>Assembled</t>
        </is>
      </c>
      <c r="D11" s="13" t="n">
        <v>12.9</v>
      </c>
      <c r="E11" s="13">
        <f>VLOOKUP(C11,Assumptions!$A$4:$B$9,2,FALSE)</f>
        <v/>
      </c>
      <c r="F11" s="13" t="n">
        <v>2</v>
      </c>
      <c r="G11" s="13">
        <f>D11+E11+F11</f>
        <v/>
      </c>
      <c r="H11" s="14" t="n">
        <v>90</v>
      </c>
      <c r="I11" s="13">
        <f>H11-G11</f>
        <v/>
      </c>
      <c r="J11" s="10">
        <f>IF(H11=0,"",I11/H11)</f>
        <v/>
      </c>
      <c r="K11" t="inlineStr">
        <is>
          <t>Medium</t>
        </is>
      </c>
      <c r="L11" s="13">
        <f>VLOOKUP(K11,Assumptions!$A$12:$B$17,2,FALSE)</f>
        <v/>
      </c>
      <c r="M11" s="13">
        <f>H11-G11-L11</f>
        <v/>
      </c>
      <c r="N11" s="10">
        <f>IF(H11=0,"",M11/H11)</f>
        <v/>
      </c>
      <c r="O11" s="14" t="n">
        <v>112</v>
      </c>
      <c r="P11" s="10">
        <f>Assumptions!$B$19</f>
        <v/>
      </c>
      <c r="Q11" s="13">
        <f>O11*(1-P11)</f>
        <v/>
      </c>
      <c r="R11" s="13">
        <f>Q11-G11</f>
        <v/>
      </c>
      <c r="S11" s="10">
        <f>IF(O11=0,"",R11/O11)</f>
        <v/>
      </c>
    </row>
    <row r="12">
      <c r="A12" t="inlineStr">
        <is>
          <t>Raj Kachori</t>
        </is>
      </c>
      <c r="B12" t="inlineStr">
        <is>
          <t>Chaat Wala</t>
        </is>
      </c>
      <c r="C12" t="inlineStr">
        <is>
          <t>Deep-fry</t>
        </is>
      </c>
      <c r="D12" s="13" t="n">
        <v>36.7</v>
      </c>
      <c r="E12" s="13">
        <f>VLOOKUP(C12,Assumptions!$A$4:$B$9,2,FALSE)</f>
        <v/>
      </c>
      <c r="F12" s="13" t="n">
        <v>2</v>
      </c>
      <c r="G12" s="13">
        <f>D12+E12+F12</f>
        <v/>
      </c>
      <c r="H12" s="14" t="n">
        <v>100</v>
      </c>
      <c r="I12" s="13">
        <f>H12-G12</f>
        <v/>
      </c>
      <c r="J12" s="10">
        <f>IF(H12=0,"",I12/H12)</f>
        <v/>
      </c>
      <c r="K12" t="inlineStr">
        <is>
          <t>Medium</t>
        </is>
      </c>
      <c r="L12" s="13">
        <f>VLOOKUP(K12,Assumptions!$A$12:$B$17,2,FALSE)</f>
        <v/>
      </c>
      <c r="M12" s="13">
        <f>H12-G12-L12</f>
        <v/>
      </c>
      <c r="N12" s="10">
        <f>IF(H12=0,"",M12/H12)</f>
        <v/>
      </c>
      <c r="O12" s="14" t="n">
        <v>125</v>
      </c>
      <c r="P12" s="10">
        <f>Assumptions!$B$19</f>
        <v/>
      </c>
      <c r="Q12" s="13">
        <f>O12*(1-P12)</f>
        <v/>
      </c>
      <c r="R12" s="13">
        <f>Q12-G12</f>
        <v/>
      </c>
      <c r="S12" s="10">
        <f>IF(O12=0,"",R12/O12)</f>
        <v/>
      </c>
    </row>
    <row r="13">
      <c r="A13" t="inlineStr">
        <is>
          <t>Desi Chai</t>
        </is>
      </c>
      <c r="B13" t="inlineStr">
        <is>
          <t>Chai</t>
        </is>
      </c>
      <c r="C13" t="inlineStr">
        <is>
          <t>Boil</t>
        </is>
      </c>
      <c r="D13" s="13" t="n">
        <v>7.13</v>
      </c>
      <c r="E13" s="13">
        <f>VLOOKUP(C13,Assumptions!$A$4:$B$9,2,FALSE)</f>
        <v/>
      </c>
      <c r="F13" s="13" t="n">
        <v>0.3</v>
      </c>
      <c r="G13" s="13">
        <f>D13+E13+F13</f>
        <v/>
      </c>
      <c r="H13" s="14" t="n">
        <v>20</v>
      </c>
      <c r="I13" s="13">
        <f>H13-G13</f>
        <v/>
      </c>
      <c r="J13" s="10">
        <f>IF(H13=0,"",I13/H13)</f>
        <v/>
      </c>
      <c r="K13" t="inlineStr">
        <is>
          <t>Cup</t>
        </is>
      </c>
      <c r="L13" s="13">
        <f>VLOOKUP(K13,Assumptions!$A$12:$B$17,2,FALSE)</f>
        <v/>
      </c>
      <c r="M13" s="13">
        <f>H13-G13-L13</f>
        <v/>
      </c>
      <c r="N13" s="10">
        <f>IF(H13=0,"",M13/H13)</f>
        <v/>
      </c>
      <c r="O13" s="14" t="n">
        <v>25</v>
      </c>
      <c r="P13" s="10">
        <f>Assumptions!$B$19</f>
        <v/>
      </c>
      <c r="Q13" s="13">
        <f>O13*(1-P13)</f>
        <v/>
      </c>
      <c r="R13" s="13">
        <f>Q13-G13</f>
        <v/>
      </c>
      <c r="S13" s="10">
        <f>IF(O13=0,"",R13/O13)</f>
        <v/>
      </c>
    </row>
    <row r="14">
      <c r="A14" t="inlineStr">
        <is>
          <t>Chole Bhature</t>
        </is>
      </c>
      <c r="B14" t="inlineStr">
        <is>
          <t>Chole Wala</t>
        </is>
      </c>
      <c r="C14" t="inlineStr">
        <is>
          <t>Simmer</t>
        </is>
      </c>
      <c r="D14" s="13" t="n">
        <v>33.23</v>
      </c>
      <c r="E14" s="13">
        <f>VLOOKUP(C14,Assumptions!$A$4:$B$9,2,FALSE)</f>
        <v/>
      </c>
      <c r="F14" s="13" t="n">
        <v>1</v>
      </c>
      <c r="G14" s="13">
        <f>D14+E14+F14</f>
        <v/>
      </c>
      <c r="H14" s="14" t="n">
        <v>150</v>
      </c>
      <c r="I14" s="13">
        <f>H14-G14</f>
        <v/>
      </c>
      <c r="J14" s="10">
        <f>IF(H14=0,"",I14/H14)</f>
        <v/>
      </c>
      <c r="K14" t="inlineStr">
        <is>
          <t>Large</t>
        </is>
      </c>
      <c r="L14" s="13">
        <f>VLOOKUP(K14,Assumptions!$A$12:$B$17,2,FALSE)</f>
        <v/>
      </c>
      <c r="M14" s="13">
        <f>H14-G14-L14</f>
        <v/>
      </c>
      <c r="N14" s="10">
        <f>IF(H14=0,"",M14/H14)</f>
        <v/>
      </c>
      <c r="O14" s="14" t="n">
        <v>188</v>
      </c>
      <c r="P14" s="10">
        <f>Assumptions!$B$19</f>
        <v/>
      </c>
      <c r="Q14" s="13">
        <f>O14*(1-P14)</f>
        <v/>
      </c>
      <c r="R14" s="13">
        <f>Q14-G14</f>
        <v/>
      </c>
      <c r="S14" s="10">
        <f>IF(O14=0,"",R14/O14)</f>
        <v/>
      </c>
    </row>
    <row r="15">
      <c r="A15" t="inlineStr">
        <is>
          <t>Chole Kulche</t>
        </is>
      </c>
      <c r="B15" t="inlineStr">
        <is>
          <t>Chole Wala</t>
        </is>
      </c>
      <c r="C15" t="inlineStr">
        <is>
          <t>Simmer</t>
        </is>
      </c>
      <c r="D15" s="13" t="n">
        <v>48.45</v>
      </c>
      <c r="E15" s="13">
        <f>VLOOKUP(C15,Assumptions!$A$4:$B$9,2,FALSE)</f>
        <v/>
      </c>
      <c r="F15" s="13" t="n">
        <v>1</v>
      </c>
      <c r="G15" s="13">
        <f>D15+E15+F15</f>
        <v/>
      </c>
      <c r="H15" s="14" t="n">
        <v>150</v>
      </c>
      <c r="I15" s="13">
        <f>H15-G15</f>
        <v/>
      </c>
      <c r="J15" s="10">
        <f>IF(H15=0,"",I15/H15)</f>
        <v/>
      </c>
      <c r="K15" t="inlineStr">
        <is>
          <t>Large</t>
        </is>
      </c>
      <c r="L15" s="13">
        <f>VLOOKUP(K15,Assumptions!$A$12:$B$17,2,FALSE)</f>
        <v/>
      </c>
      <c r="M15" s="13">
        <f>H15-G15-L15</f>
        <v/>
      </c>
      <c r="N15" s="10">
        <f>IF(H15=0,"",M15/H15)</f>
        <v/>
      </c>
      <c r="O15" s="14" t="n">
        <v>188</v>
      </c>
      <c r="P15" s="10">
        <f>Assumptions!$B$19</f>
        <v/>
      </c>
      <c r="Q15" s="13">
        <f>O15*(1-P15)</f>
        <v/>
      </c>
      <c r="R15" s="13">
        <f>Q15-G15</f>
        <v/>
      </c>
      <c r="S15" s="10">
        <f>IF(O15=0,"",R15/O15)</f>
        <v/>
      </c>
    </row>
    <row r="16">
      <c r="A16" t="inlineStr">
        <is>
          <t>Masala Poori with Sabji</t>
        </is>
      </c>
      <c r="B16" t="inlineStr">
        <is>
          <t>Chole Wala</t>
        </is>
      </c>
      <c r="C16" t="inlineStr">
        <is>
          <t>Deep-fry</t>
        </is>
      </c>
      <c r="D16" s="13" t="n">
        <v>11.05</v>
      </c>
      <c r="E16" s="13">
        <f>VLOOKUP(C16,Assumptions!$A$4:$B$9,2,FALSE)</f>
        <v/>
      </c>
      <c r="F16" s="13" t="n">
        <v>1</v>
      </c>
      <c r="G16" s="13">
        <f>D16+E16+F16</f>
        <v/>
      </c>
      <c r="H16" s="14" t="n">
        <v>110</v>
      </c>
      <c r="I16" s="13">
        <f>H16-G16</f>
        <v/>
      </c>
      <c r="J16" s="10">
        <f>IF(H16=0,"",I16/H16)</f>
        <v/>
      </c>
      <c r="K16" t="inlineStr">
        <is>
          <t>Large</t>
        </is>
      </c>
      <c r="L16" s="13">
        <f>VLOOKUP(K16,Assumptions!$A$12:$B$17,2,FALSE)</f>
        <v/>
      </c>
      <c r="M16" s="13">
        <f>H16-G16-L16</f>
        <v/>
      </c>
      <c r="N16" s="10">
        <f>IF(H16=0,"",M16/H16)</f>
        <v/>
      </c>
      <c r="O16" s="14" t="n">
        <v>138</v>
      </c>
      <c r="P16" s="10">
        <f>Assumptions!$B$19</f>
        <v/>
      </c>
      <c r="Q16" s="13">
        <f>O16*(1-P16)</f>
        <v/>
      </c>
      <c r="R16" s="13">
        <f>Q16-G16</f>
        <v/>
      </c>
      <c r="S16" s="10">
        <f>IF(O16=0,"",R16/O16)</f>
        <v/>
      </c>
    </row>
    <row r="17">
      <c r="A17" t="inlineStr">
        <is>
          <t>Matar Kulche</t>
        </is>
      </c>
      <c r="B17" t="inlineStr">
        <is>
          <t>Chole Wala</t>
        </is>
      </c>
      <c r="C17" t="inlineStr">
        <is>
          <t>Simmer</t>
        </is>
      </c>
      <c r="D17" s="13" t="n">
        <v>44.71</v>
      </c>
      <c r="E17" s="13">
        <f>VLOOKUP(C17,Assumptions!$A$4:$B$9,2,FALSE)</f>
        <v/>
      </c>
      <c r="F17" s="13" t="n">
        <v>1</v>
      </c>
      <c r="G17" s="13">
        <f>D17+E17+F17</f>
        <v/>
      </c>
      <c r="H17" s="14" t="n">
        <v>150</v>
      </c>
      <c r="I17" s="13">
        <f>H17-G17</f>
        <v/>
      </c>
      <c r="J17" s="10">
        <f>IF(H17=0,"",I17/H17)</f>
        <v/>
      </c>
      <c r="K17" t="inlineStr">
        <is>
          <t>Large</t>
        </is>
      </c>
      <c r="L17" s="13">
        <f>VLOOKUP(K17,Assumptions!$A$12:$B$17,2,FALSE)</f>
        <v/>
      </c>
      <c r="M17" s="13">
        <f>H17-G17-L17</f>
        <v/>
      </c>
      <c r="N17" s="10">
        <f>IF(H17=0,"",M17/H17)</f>
        <v/>
      </c>
      <c r="O17" s="14" t="n">
        <v>188</v>
      </c>
      <c r="P17" s="10">
        <f>Assumptions!$B$19</f>
        <v/>
      </c>
      <c r="Q17" s="13">
        <f>O17*(1-P17)</f>
        <v/>
      </c>
      <c r="R17" s="13">
        <f>Q17-G17</f>
        <v/>
      </c>
      <c r="S17" s="10">
        <f>IF(O17=0,"",R17/O17)</f>
        <v/>
      </c>
    </row>
    <row r="18">
      <c r="A18" t="inlineStr">
        <is>
          <t>Dal Tadka</t>
        </is>
      </c>
      <c r="B18" t="inlineStr">
        <is>
          <t>Dal</t>
        </is>
      </c>
      <c r="C18" t="inlineStr">
        <is>
          <t>Simmer</t>
        </is>
      </c>
      <c r="D18" s="13" t="n">
        <v>25.27</v>
      </c>
      <c r="E18" s="13">
        <f>VLOOKUP(C18,Assumptions!$A$4:$B$9,2,FALSE)</f>
        <v/>
      </c>
      <c r="F18" s="13" t="n">
        <v>0.3</v>
      </c>
      <c r="G18" s="13">
        <f>D18+E18+F18</f>
        <v/>
      </c>
      <c r="H18" s="14" t="n">
        <v>119</v>
      </c>
      <c r="I18" s="13">
        <f>H18-G18</f>
        <v/>
      </c>
      <c r="J18" s="10">
        <f>IF(H18=0,"",I18/H18)</f>
        <v/>
      </c>
      <c r="K18" t="inlineStr">
        <is>
          <t>Large</t>
        </is>
      </c>
      <c r="L18" s="13">
        <f>VLOOKUP(K18,Assumptions!$A$12:$B$17,2,FALSE)</f>
        <v/>
      </c>
      <c r="M18" s="13">
        <f>H18-G18-L18</f>
        <v/>
      </c>
      <c r="N18" s="10">
        <f>IF(H18=0,"",M18/H18)</f>
        <v/>
      </c>
      <c r="O18" s="14" t="n">
        <v>149</v>
      </c>
      <c r="P18" s="10">
        <f>Assumptions!$B$19</f>
        <v/>
      </c>
      <c r="Q18" s="13">
        <f>O18*(1-P18)</f>
        <v/>
      </c>
      <c r="R18" s="13">
        <f>Q18-G18</f>
        <v/>
      </c>
      <c r="S18" s="10">
        <f>IF(O18=0,"",R18/O18)</f>
        <v/>
      </c>
    </row>
    <row r="19">
      <c r="A19" t="inlineStr">
        <is>
          <t>Badaam Milk</t>
        </is>
      </c>
      <c r="B19" t="inlineStr">
        <is>
          <t>Doodh</t>
        </is>
      </c>
      <c r="C19" t="inlineStr">
        <is>
          <t>Milk-reduce</t>
        </is>
      </c>
      <c r="D19" s="13" t="n">
        <v>72.55</v>
      </c>
      <c r="E19" s="13">
        <f>VLOOKUP(C19,Assumptions!$A$4:$B$9,2,FALSE)</f>
        <v/>
      </c>
      <c r="F19" s="13" t="n">
        <v>0.3</v>
      </c>
      <c r="G19" s="13">
        <f>D19+E19+F19</f>
        <v/>
      </c>
      <c r="H19" s="14" t="n">
        <v>170</v>
      </c>
      <c r="I19" s="13">
        <f>H19-G19</f>
        <v/>
      </c>
      <c r="J19" s="10">
        <f>IF(H19=0,"",I19/H19)</f>
        <v/>
      </c>
      <c r="K19" t="inlineStr">
        <is>
          <t>Cup</t>
        </is>
      </c>
      <c r="L19" s="13">
        <f>VLOOKUP(K19,Assumptions!$A$12:$B$17,2,FALSE)</f>
        <v/>
      </c>
      <c r="M19" s="13">
        <f>H19-G19-L19</f>
        <v/>
      </c>
      <c r="N19" s="10">
        <f>IF(H19=0,"",M19/H19)</f>
        <v/>
      </c>
      <c r="O19" s="14" t="n">
        <v>212</v>
      </c>
      <c r="P19" s="10">
        <f>Assumptions!$B$19</f>
        <v/>
      </c>
      <c r="Q19" s="13">
        <f>O19*(1-P19)</f>
        <v/>
      </c>
      <c r="R19" s="13">
        <f>Q19-G19</f>
        <v/>
      </c>
      <c r="S19" s="10">
        <f>IF(O19=0,"",R19/O19)</f>
        <v/>
      </c>
    </row>
    <row r="20">
      <c r="A20" t="inlineStr">
        <is>
          <t>Thandai</t>
        </is>
      </c>
      <c r="B20" t="inlineStr">
        <is>
          <t>Doodh</t>
        </is>
      </c>
      <c r="C20" t="inlineStr">
        <is>
          <t>Milk-reduce</t>
        </is>
      </c>
      <c r="D20" s="13" t="n">
        <v>75.02</v>
      </c>
      <c r="E20" s="13">
        <f>VLOOKUP(C20,Assumptions!$A$4:$B$9,2,FALSE)</f>
        <v/>
      </c>
      <c r="F20" s="13" t="n">
        <v>0.3</v>
      </c>
      <c r="G20" s="13">
        <f>D20+E20+F20</f>
        <v/>
      </c>
      <c r="H20" s="14" t="n">
        <v>150</v>
      </c>
      <c r="I20" s="13">
        <f>H20-G20</f>
        <v/>
      </c>
      <c r="J20" s="10">
        <f>IF(H20=0,"",I20/H20)</f>
        <v/>
      </c>
      <c r="K20" t="inlineStr">
        <is>
          <t>Cup</t>
        </is>
      </c>
      <c r="L20" s="13">
        <f>VLOOKUP(K20,Assumptions!$A$12:$B$17,2,FALSE)</f>
        <v/>
      </c>
      <c r="M20" s="13">
        <f>H20-G20-L20</f>
        <v/>
      </c>
      <c r="N20" s="10">
        <f>IF(H20=0,"",M20/H20)</f>
        <v/>
      </c>
      <c r="O20" s="14" t="n">
        <v>188</v>
      </c>
      <c r="P20" s="10">
        <f>Assumptions!$B$19</f>
        <v/>
      </c>
      <c r="Q20" s="13">
        <f>O20*(1-P20)</f>
        <v/>
      </c>
      <c r="R20" s="13">
        <f>Q20-G20</f>
        <v/>
      </c>
      <c r="S20" s="10">
        <f>IF(O20=0,"",R20/O20)</f>
        <v/>
      </c>
    </row>
    <row r="21">
      <c r="A21" t="inlineStr">
        <is>
          <t>Falahari Aloo Chaat</t>
        </is>
      </c>
      <c r="B21" t="inlineStr">
        <is>
          <t>Falahari</t>
        </is>
      </c>
      <c r="C21" t="inlineStr">
        <is>
          <t>Assembled</t>
        </is>
      </c>
      <c r="D21" s="13" t="n">
        <v>9.1</v>
      </c>
      <c r="E21" s="13">
        <f>VLOOKUP(C21,Assumptions!$A$4:$B$9,2,FALSE)</f>
        <v/>
      </c>
      <c r="F21" s="13" t="n">
        <v>0.3</v>
      </c>
      <c r="G21" s="13">
        <f>D21+E21+F21</f>
        <v/>
      </c>
      <c r="H21" s="14" t="n">
        <v>80</v>
      </c>
      <c r="I21" s="13">
        <f>H21-G21</f>
        <v/>
      </c>
      <c r="J21" s="10">
        <f>IF(H21=0,"",I21/H21)</f>
        <v/>
      </c>
      <c r="K21" t="inlineStr">
        <is>
          <t>Small</t>
        </is>
      </c>
      <c r="L21" s="13">
        <f>VLOOKUP(K21,Assumptions!$A$12:$B$17,2,FALSE)</f>
        <v/>
      </c>
      <c r="M21" s="13">
        <f>H21-G21-L21</f>
        <v/>
      </c>
      <c r="N21" s="10">
        <f>IF(H21=0,"",M21/H21)</f>
        <v/>
      </c>
      <c r="O21" s="14" t="n">
        <v>100</v>
      </c>
      <c r="P21" s="10">
        <f>Assumptions!$B$19</f>
        <v/>
      </c>
      <c r="Q21" s="13">
        <f>O21*(1-P21)</f>
        <v/>
      </c>
      <c r="R21" s="13">
        <f>Q21-G21</f>
        <v/>
      </c>
      <c r="S21" s="10">
        <f>IF(O21=0,"",R21/O21)</f>
        <v/>
      </c>
    </row>
    <row r="22">
      <c r="A22" t="inlineStr">
        <is>
          <t>Falahari Singada Aloo Bhajiya</t>
        </is>
      </c>
      <c r="B22" t="inlineStr">
        <is>
          <t>Falahari</t>
        </is>
      </c>
      <c r="C22" t="inlineStr">
        <is>
          <t>Deep-fry</t>
        </is>
      </c>
      <c r="D22" s="13" t="n">
        <v>23.5</v>
      </c>
      <c r="E22" s="13">
        <f>VLOOKUP(C22,Assumptions!$A$4:$B$9,2,FALSE)</f>
        <v/>
      </c>
      <c r="F22" s="13" t="n">
        <v>0.3</v>
      </c>
      <c r="G22" s="13">
        <f>D22+E22+F22</f>
        <v/>
      </c>
      <c r="H22" s="14" t="n">
        <v>100</v>
      </c>
      <c r="I22" s="13">
        <f>H22-G22</f>
        <v/>
      </c>
      <c r="J22" s="10">
        <f>IF(H22=0,"",I22/H22)</f>
        <v/>
      </c>
      <c r="K22" t="inlineStr">
        <is>
          <t>Small</t>
        </is>
      </c>
      <c r="L22" s="13">
        <f>VLOOKUP(K22,Assumptions!$A$12:$B$17,2,FALSE)</f>
        <v/>
      </c>
      <c r="M22" s="13">
        <f>H22-G22-L22</f>
        <v/>
      </c>
      <c r="N22" s="10">
        <f>IF(H22=0,"",M22/H22)</f>
        <v/>
      </c>
      <c r="O22" s="14" t="n">
        <v>125</v>
      </c>
      <c r="P22" s="10">
        <f>Assumptions!$B$19</f>
        <v/>
      </c>
      <c r="Q22" s="13">
        <f>O22*(1-P22)</f>
        <v/>
      </c>
      <c r="R22" s="13">
        <f>Q22-G22</f>
        <v/>
      </c>
      <c r="S22" s="10">
        <f>IF(O22=0,"",R22/O22)</f>
        <v/>
      </c>
    </row>
    <row r="23">
      <c r="A23" t="inlineStr">
        <is>
          <t>Gajar Halwa</t>
        </is>
      </c>
      <c r="B23" t="inlineStr">
        <is>
          <t>Halwa</t>
        </is>
      </c>
      <c r="C23" t="inlineStr">
        <is>
          <t>Milk-reduce</t>
        </is>
      </c>
      <c r="D23" s="13" t="n">
        <v>32.21</v>
      </c>
      <c r="E23" s="13">
        <f>VLOOKUP(C23,Assumptions!$A$4:$B$9,2,FALSE)</f>
        <v/>
      </c>
      <c r="F23" s="13" t="n">
        <v>0.3</v>
      </c>
      <c r="G23" s="13">
        <f>D23+E23+F23</f>
        <v/>
      </c>
      <c r="H23" s="14" t="n">
        <v>80</v>
      </c>
      <c r="I23" s="13">
        <f>H23-G23</f>
        <v/>
      </c>
      <c r="J23" s="10">
        <f>IF(H23=0,"",I23/H23)</f>
        <v/>
      </c>
      <c r="K23" t="inlineStr">
        <is>
          <t>SweetBox</t>
        </is>
      </c>
      <c r="L23" s="13">
        <f>VLOOKUP(K23,Assumptions!$A$12:$B$17,2,FALSE)</f>
        <v/>
      </c>
      <c r="M23" s="13">
        <f>H23-G23-L23</f>
        <v/>
      </c>
      <c r="N23" s="10">
        <f>IF(H23=0,"",M23/H23)</f>
        <v/>
      </c>
      <c r="O23" s="14" t="n">
        <v>100</v>
      </c>
      <c r="P23" s="10">
        <f>Assumptions!$B$19</f>
        <v/>
      </c>
      <c r="Q23" s="13">
        <f>O23*(1-P23)</f>
        <v/>
      </c>
      <c r="R23" s="13">
        <f>Q23-G23</f>
        <v/>
      </c>
      <c r="S23" s="10">
        <f>IF(O23=0,"",R23/O23)</f>
        <v/>
      </c>
    </row>
    <row r="24">
      <c r="A24" t="inlineStr">
        <is>
          <t>Moong Dal Halwa</t>
        </is>
      </c>
      <c r="B24" t="inlineStr">
        <is>
          <t>Halwa</t>
        </is>
      </c>
      <c r="C24" t="inlineStr">
        <is>
          <t>Milk-reduce</t>
        </is>
      </c>
      <c r="D24" s="13" t="n">
        <v>16.09</v>
      </c>
      <c r="E24" s="13">
        <f>VLOOKUP(C24,Assumptions!$A$4:$B$9,2,FALSE)</f>
        <v/>
      </c>
      <c r="F24" s="13" t="n">
        <v>0.3</v>
      </c>
      <c r="G24" s="13">
        <f>D24+E24+F24</f>
        <v/>
      </c>
      <c r="H24" s="14" t="n">
        <v>90</v>
      </c>
      <c r="I24" s="13">
        <f>H24-G24</f>
        <v/>
      </c>
      <c r="J24" s="10">
        <f>IF(H24=0,"",I24/H24)</f>
        <v/>
      </c>
      <c r="K24" t="inlineStr">
        <is>
          <t>SweetBox</t>
        </is>
      </c>
      <c r="L24" s="13">
        <f>VLOOKUP(K24,Assumptions!$A$12:$B$17,2,FALSE)</f>
        <v/>
      </c>
      <c r="M24" s="13">
        <f>H24-G24-L24</f>
        <v/>
      </c>
      <c r="N24" s="10">
        <f>IF(H24=0,"",M24/H24)</f>
        <v/>
      </c>
      <c r="O24" s="14" t="n">
        <v>112</v>
      </c>
      <c r="P24" s="10">
        <f>Assumptions!$B$19</f>
        <v/>
      </c>
      <c r="Q24" s="13">
        <f>O24*(1-P24)</f>
        <v/>
      </c>
      <c r="R24" s="13">
        <f>Q24-G24</f>
        <v/>
      </c>
      <c r="S24" s="10">
        <f>IF(O24=0,"",R24/O24)</f>
        <v/>
      </c>
    </row>
    <row r="25">
      <c r="A25" t="inlineStr">
        <is>
          <t>Bedai (plain)</t>
        </is>
      </c>
      <c r="B25" t="inlineStr">
        <is>
          <t>Kachori Wala</t>
        </is>
      </c>
      <c r="C25" t="inlineStr">
        <is>
          <t>Deep-fry</t>
        </is>
      </c>
      <c r="D25" s="13" t="n">
        <v>5.47</v>
      </c>
      <c r="E25" s="13">
        <f>VLOOKUP(C25,Assumptions!$A$4:$B$9,2,FALSE)</f>
        <v/>
      </c>
      <c r="F25" s="13" t="n">
        <v>1</v>
      </c>
      <c r="G25" s="13">
        <f>D25+E25+F25</f>
        <v/>
      </c>
      <c r="H25" s="14" t="n">
        <v>25</v>
      </c>
      <c r="I25" s="13">
        <f>H25-G25</f>
        <v/>
      </c>
      <c r="J25" s="10">
        <f>IF(H25=0,"",I25/H25)</f>
        <v/>
      </c>
      <c r="K25" t="inlineStr">
        <is>
          <t>Small</t>
        </is>
      </c>
      <c r="L25" s="13">
        <f>VLOOKUP(K25,Assumptions!$A$12:$B$17,2,FALSE)</f>
        <v/>
      </c>
      <c r="M25" s="13">
        <f>H25-G25-L25</f>
        <v/>
      </c>
      <c r="N25" s="10">
        <f>IF(H25=0,"",M25/H25)</f>
        <v/>
      </c>
      <c r="O25" s="14" t="n">
        <v>31</v>
      </c>
      <c r="P25" s="10">
        <f>Assumptions!$B$19</f>
        <v/>
      </c>
      <c r="Q25" s="13">
        <f>O25*(1-P25)</f>
        <v/>
      </c>
      <c r="R25" s="13">
        <f>Q25-G25</f>
        <v/>
      </c>
      <c r="S25" s="10">
        <f>IF(O25=0,"",R25/O25)</f>
        <v/>
      </c>
    </row>
    <row r="26">
      <c r="A26" t="inlineStr">
        <is>
          <t>Bedai Sabji</t>
        </is>
      </c>
      <c r="B26" t="inlineStr">
        <is>
          <t>Kachori Wala</t>
        </is>
      </c>
      <c r="C26" t="inlineStr">
        <is>
          <t>Deep-fry</t>
        </is>
      </c>
      <c r="D26" s="13" t="n">
        <v>6.11</v>
      </c>
      <c r="E26" s="13">
        <f>VLOOKUP(C26,Assumptions!$A$4:$B$9,2,FALSE)</f>
        <v/>
      </c>
      <c r="F26" s="13" t="n">
        <v>1</v>
      </c>
      <c r="G26" s="13">
        <f>D26+E26+F26</f>
        <v/>
      </c>
      <c r="H26" s="14" t="n">
        <v>35</v>
      </c>
      <c r="I26" s="13">
        <f>H26-G26</f>
        <v/>
      </c>
      <c r="J26" s="10">
        <f>IF(H26=0,"",I26/H26)</f>
        <v/>
      </c>
      <c r="K26" t="inlineStr">
        <is>
          <t>Small</t>
        </is>
      </c>
      <c r="L26" s="13">
        <f>VLOOKUP(K26,Assumptions!$A$12:$B$17,2,FALSE)</f>
        <v/>
      </c>
      <c r="M26" s="13">
        <f>H26-G26-L26</f>
        <v/>
      </c>
      <c r="N26" s="10">
        <f>IF(H26=0,"",M26/H26)</f>
        <v/>
      </c>
      <c r="O26" s="14" t="n">
        <v>44</v>
      </c>
      <c r="P26" s="10">
        <f>Assumptions!$B$19</f>
        <v/>
      </c>
      <c r="Q26" s="13">
        <f>O26*(1-P26)</f>
        <v/>
      </c>
      <c r="R26" s="13">
        <f>Q26-G26</f>
        <v/>
      </c>
      <c r="S26" s="10">
        <f>IF(O26=0,"",R26/O26)</f>
        <v/>
      </c>
    </row>
    <row r="27">
      <c r="A27" t="inlineStr">
        <is>
          <t>Dal Kachori (plain)</t>
        </is>
      </c>
      <c r="B27" t="inlineStr">
        <is>
          <t>Kachori Wala</t>
        </is>
      </c>
      <c r="C27" t="inlineStr">
        <is>
          <t>Deep-fry</t>
        </is>
      </c>
      <c r="D27" s="13" t="n">
        <v>8.630000000000001</v>
      </c>
      <c r="E27" s="13">
        <f>VLOOKUP(C27,Assumptions!$A$4:$B$9,2,FALSE)</f>
        <v/>
      </c>
      <c r="F27" s="13" t="n">
        <v>1</v>
      </c>
      <c r="G27" s="13">
        <f>D27+E27+F27</f>
        <v/>
      </c>
      <c r="H27" s="14" t="n">
        <v>25</v>
      </c>
      <c r="I27" s="13">
        <f>H27-G27</f>
        <v/>
      </c>
      <c r="J27" s="10">
        <f>IF(H27=0,"",I27/H27)</f>
        <v/>
      </c>
      <c r="K27" t="inlineStr">
        <is>
          <t>Small</t>
        </is>
      </c>
      <c r="L27" s="13">
        <f>VLOOKUP(K27,Assumptions!$A$12:$B$17,2,FALSE)</f>
        <v/>
      </c>
      <c r="M27" s="13">
        <f>H27-G27-L27</f>
        <v/>
      </c>
      <c r="N27" s="10">
        <f>IF(H27=0,"",M27/H27)</f>
        <v/>
      </c>
      <c r="O27" s="14" t="n">
        <v>31</v>
      </c>
      <c r="P27" s="10">
        <f>Assumptions!$B$19</f>
        <v/>
      </c>
      <c r="Q27" s="13">
        <f>O27*(1-P27)</f>
        <v/>
      </c>
      <c r="R27" s="13">
        <f>Q27-G27</f>
        <v/>
      </c>
      <c r="S27" s="10">
        <f>IF(O27=0,"",R27/O27)</f>
        <v/>
      </c>
    </row>
    <row r="28">
      <c r="A28" t="inlineStr">
        <is>
          <t>Extra Kadhi</t>
        </is>
      </c>
      <c r="B28" t="inlineStr">
        <is>
          <t>Kachori Wala</t>
        </is>
      </c>
      <c r="C28" t="inlineStr">
        <is>
          <t>Simmer</t>
        </is>
      </c>
      <c r="D28" s="13" t="n">
        <v>3.52</v>
      </c>
      <c r="E28" s="13">
        <f>VLOOKUP(C28,Assumptions!$A$4:$B$9,2,FALSE)</f>
        <v/>
      </c>
      <c r="F28" s="13" t="n">
        <v>1</v>
      </c>
      <c r="G28" s="13">
        <f>D28+E28+F28</f>
        <v/>
      </c>
      <c r="H28" s="14" t="n">
        <v>20</v>
      </c>
      <c r="I28" s="13">
        <f>H28-G28</f>
        <v/>
      </c>
      <c r="J28" s="10">
        <f>IF(H28=0,"",I28/H28)</f>
        <v/>
      </c>
      <c r="K28" t="inlineStr">
        <is>
          <t>Small</t>
        </is>
      </c>
      <c r="L28" s="13">
        <f>VLOOKUP(K28,Assumptions!$A$12:$B$17,2,FALSE)</f>
        <v/>
      </c>
      <c r="M28" s="13">
        <f>H28-G28-L28</f>
        <v/>
      </c>
      <c r="N28" s="10">
        <f>IF(H28=0,"",M28/H28)</f>
        <v/>
      </c>
      <c r="O28" s="14" t="n">
        <v>25</v>
      </c>
      <c r="P28" s="10">
        <f>Assumptions!$B$19</f>
        <v/>
      </c>
      <c r="Q28" s="13">
        <f>O28*(1-P28)</f>
        <v/>
      </c>
      <c r="R28" s="13">
        <f>Q28-G28</f>
        <v/>
      </c>
      <c r="S28" s="10">
        <f>IF(O28=0,"",R28/O28)</f>
        <v/>
      </c>
    </row>
    <row r="29">
      <c r="A29" t="inlineStr">
        <is>
          <t>Extra Sabji</t>
        </is>
      </c>
      <c r="B29" t="inlineStr">
        <is>
          <t>Kachori Wala</t>
        </is>
      </c>
      <c r="C29" t="inlineStr">
        <is>
          <t>Simmer</t>
        </is>
      </c>
      <c r="D29" s="13" t="n">
        <v>2.88</v>
      </c>
      <c r="E29" s="13">
        <f>VLOOKUP(C29,Assumptions!$A$4:$B$9,2,FALSE)</f>
        <v/>
      </c>
      <c r="F29" s="13" t="n">
        <v>1</v>
      </c>
      <c r="G29" s="13">
        <f>D29+E29+F29</f>
        <v/>
      </c>
      <c r="H29" s="14" t="n">
        <v>15</v>
      </c>
      <c r="I29" s="13">
        <f>H29-G29</f>
        <v/>
      </c>
      <c r="J29" s="10">
        <f>IF(H29=0,"",I29/H29)</f>
        <v/>
      </c>
      <c r="K29" t="inlineStr">
        <is>
          <t>Small</t>
        </is>
      </c>
      <c r="L29" s="13">
        <f>VLOOKUP(K29,Assumptions!$A$12:$B$17,2,FALSE)</f>
        <v/>
      </c>
      <c r="M29" s="13">
        <f>H29-G29-L29</f>
        <v/>
      </c>
      <c r="N29" s="10">
        <f>IF(H29=0,"",M29/H29)</f>
        <v/>
      </c>
      <c r="O29" s="14" t="n">
        <v>19</v>
      </c>
      <c r="P29" s="10">
        <f>Assumptions!$B$19</f>
        <v/>
      </c>
      <c r="Q29" s="13">
        <f>O29*(1-P29)</f>
        <v/>
      </c>
      <c r="R29" s="13">
        <f>Q29-G29</f>
        <v/>
      </c>
      <c r="S29" s="10">
        <f>IF(O29=0,"",R29/O29)</f>
        <v/>
      </c>
    </row>
    <row r="30">
      <c r="A30" t="inlineStr">
        <is>
          <t>Jodhpur Pyaz Kachori</t>
        </is>
      </c>
      <c r="B30" t="inlineStr">
        <is>
          <t>Kachori Wala</t>
        </is>
      </c>
      <c r="C30" t="inlineStr">
        <is>
          <t>Deep-fry</t>
        </is>
      </c>
      <c r="D30" s="13" t="n">
        <v>8.69</v>
      </c>
      <c r="E30" s="13">
        <f>VLOOKUP(C30,Assumptions!$A$4:$B$9,2,FALSE)</f>
        <v/>
      </c>
      <c r="F30" s="13" t="n">
        <v>1</v>
      </c>
      <c r="G30" s="13">
        <f>D30+E30+F30</f>
        <v/>
      </c>
      <c r="H30" s="14" t="n">
        <v>30</v>
      </c>
      <c r="I30" s="13">
        <f>H30-G30</f>
        <v/>
      </c>
      <c r="J30" s="10">
        <f>IF(H30=0,"",I30/H30)</f>
        <v/>
      </c>
      <c r="K30" t="inlineStr">
        <is>
          <t>Small</t>
        </is>
      </c>
      <c r="L30" s="13">
        <f>VLOOKUP(K30,Assumptions!$A$12:$B$17,2,FALSE)</f>
        <v/>
      </c>
      <c r="M30" s="13">
        <f>H30-G30-L30</f>
        <v/>
      </c>
      <c r="N30" s="10">
        <f>IF(H30=0,"",M30/H30)</f>
        <v/>
      </c>
      <c r="O30" s="14" t="n">
        <v>38</v>
      </c>
      <c r="P30" s="10">
        <f>Assumptions!$B$19</f>
        <v/>
      </c>
      <c r="Q30" s="13">
        <f>O30*(1-P30)</f>
        <v/>
      </c>
      <c r="R30" s="13">
        <f>Q30-G30</f>
        <v/>
      </c>
      <c r="S30" s="10">
        <f>IF(O30=0,"",R30/O30)</f>
        <v/>
      </c>
    </row>
    <row r="31">
      <c r="A31" t="inlineStr">
        <is>
          <t>Kachori Sabji</t>
        </is>
      </c>
      <c r="B31" t="inlineStr">
        <is>
          <t>Kachori Wala</t>
        </is>
      </c>
      <c r="C31" t="inlineStr">
        <is>
          <t>Deep-fry</t>
        </is>
      </c>
      <c r="D31" s="13" t="n">
        <v>9.27</v>
      </c>
      <c r="E31" s="13">
        <f>VLOOKUP(C31,Assumptions!$A$4:$B$9,2,FALSE)</f>
        <v/>
      </c>
      <c r="F31" s="13" t="n">
        <v>1</v>
      </c>
      <c r="G31" s="13">
        <f>D31+E31+F31</f>
        <v/>
      </c>
      <c r="H31" s="14" t="n">
        <v>35</v>
      </c>
      <c r="I31" s="13">
        <f>H31-G31</f>
        <v/>
      </c>
      <c r="J31" s="10">
        <f>IF(H31=0,"",I31/H31)</f>
        <v/>
      </c>
      <c r="K31" t="inlineStr">
        <is>
          <t>Small</t>
        </is>
      </c>
      <c r="L31" s="13">
        <f>VLOOKUP(K31,Assumptions!$A$12:$B$17,2,FALSE)</f>
        <v/>
      </c>
      <c r="M31" s="13">
        <f>H31-G31-L31</f>
        <v/>
      </c>
      <c r="N31" s="10">
        <f>IF(H31=0,"",M31/H31)</f>
        <v/>
      </c>
      <c r="O31" s="14" t="n">
        <v>44</v>
      </c>
      <c r="P31" s="10">
        <f>Assumptions!$B$19</f>
        <v/>
      </c>
      <c r="Q31" s="13">
        <f>O31*(1-P31)</f>
        <v/>
      </c>
      <c r="R31" s="13">
        <f>Q31-G31</f>
        <v/>
      </c>
      <c r="S31" s="10">
        <f>IF(O31=0,"",R31/O31)</f>
        <v/>
      </c>
    </row>
    <row r="32">
      <c r="A32" t="inlineStr">
        <is>
          <t>Kulhad Lassi</t>
        </is>
      </c>
      <c r="B32" t="inlineStr">
        <is>
          <t>Lassi</t>
        </is>
      </c>
      <c r="C32" t="inlineStr">
        <is>
          <t>Assembled</t>
        </is>
      </c>
      <c r="D32" s="13" t="n">
        <v>17.87</v>
      </c>
      <c r="E32" s="13">
        <f>VLOOKUP(C32,Assumptions!$A$4:$B$9,2,FALSE)</f>
        <v/>
      </c>
      <c r="F32" s="13" t="n">
        <v>0.3</v>
      </c>
      <c r="G32" s="13">
        <f>D32+E32+F32</f>
        <v/>
      </c>
      <c r="H32" s="14" t="n">
        <v>70</v>
      </c>
      <c r="I32" s="13">
        <f>H32-G32</f>
        <v/>
      </c>
      <c r="J32" s="10">
        <f>IF(H32=0,"",I32/H32)</f>
        <v/>
      </c>
      <c r="K32" t="inlineStr">
        <is>
          <t>Cup</t>
        </is>
      </c>
      <c r="L32" s="13">
        <f>VLOOKUP(K32,Assumptions!$A$12:$B$17,2,FALSE)</f>
        <v/>
      </c>
      <c r="M32" s="13">
        <f>H32-G32-L32</f>
        <v/>
      </c>
      <c r="N32" s="10">
        <f>IF(H32=0,"",M32/H32)</f>
        <v/>
      </c>
      <c r="O32" s="14" t="n">
        <v>88</v>
      </c>
      <c r="P32" s="10">
        <f>Assumptions!$B$19</f>
        <v/>
      </c>
      <c r="Q32" s="13">
        <f>O32*(1-P32)</f>
        <v/>
      </c>
      <c r="R32" s="13">
        <f>Q32-G32</f>
        <v/>
      </c>
      <c r="S32" s="10">
        <f>IF(O32=0,"",R32/O32)</f>
        <v/>
      </c>
    </row>
    <row r="33">
      <c r="A33" t="inlineStr">
        <is>
          <t>Lassi (Large 500ml)</t>
        </is>
      </c>
      <c r="B33" t="inlineStr">
        <is>
          <t>Lassi</t>
        </is>
      </c>
      <c r="C33" t="inlineStr">
        <is>
          <t>Assembled</t>
        </is>
      </c>
      <c r="D33" s="13" t="n">
        <v>35.74</v>
      </c>
      <c r="E33" s="13">
        <f>VLOOKUP(C33,Assumptions!$A$4:$B$9,2,FALSE)</f>
        <v/>
      </c>
      <c r="F33" s="13" t="n">
        <v>0.3</v>
      </c>
      <c r="G33" s="13">
        <f>D33+E33+F33</f>
        <v/>
      </c>
      <c r="H33" s="14" t="n">
        <v>120</v>
      </c>
      <c r="I33" s="13">
        <f>H33-G33</f>
        <v/>
      </c>
      <c r="J33" s="10">
        <f>IF(H33=0,"",I33/H33)</f>
        <v/>
      </c>
      <c r="K33" t="inlineStr">
        <is>
          <t>Cup</t>
        </is>
      </c>
      <c r="L33" s="13">
        <f>VLOOKUP(K33,Assumptions!$A$12:$B$17,2,FALSE)</f>
        <v/>
      </c>
      <c r="M33" s="13">
        <f>H33-G33-L33</f>
        <v/>
      </c>
      <c r="N33" s="10">
        <f>IF(H33=0,"",M33/H33)</f>
        <v/>
      </c>
      <c r="O33" s="14" t="n">
        <v>150</v>
      </c>
      <c r="P33" s="10">
        <f>Assumptions!$B$19</f>
        <v/>
      </c>
      <c r="Q33" s="13">
        <f>O33*(1-P33)</f>
        <v/>
      </c>
      <c r="R33" s="13">
        <f>Q33-G33</f>
        <v/>
      </c>
      <c r="S33" s="10">
        <f>IF(O33=0,"",R33/O33)</f>
        <v/>
      </c>
    </row>
    <row r="34">
      <c r="A34" t="inlineStr">
        <is>
          <t>Masala Chaas (250ml)</t>
        </is>
      </c>
      <c r="B34" t="inlineStr">
        <is>
          <t>Lassi</t>
        </is>
      </c>
      <c r="C34" t="inlineStr">
        <is>
          <t>Assembled</t>
        </is>
      </c>
      <c r="D34" s="13" t="n">
        <v>8</v>
      </c>
      <c r="E34" s="13">
        <f>VLOOKUP(C34,Assumptions!$A$4:$B$9,2,FALSE)</f>
        <v/>
      </c>
      <c r="F34" s="13" t="n">
        <v>0.3</v>
      </c>
      <c r="G34" s="13">
        <f>D34+E34+F34</f>
        <v/>
      </c>
      <c r="H34" s="14" t="n">
        <v>45</v>
      </c>
      <c r="I34" s="13">
        <f>H34-G34</f>
        <v/>
      </c>
      <c r="J34" s="10">
        <f>IF(H34=0,"",I34/H34)</f>
        <v/>
      </c>
      <c r="K34" t="inlineStr">
        <is>
          <t>Cup</t>
        </is>
      </c>
      <c r="L34" s="13">
        <f>VLOOKUP(K34,Assumptions!$A$12:$B$17,2,FALSE)</f>
        <v/>
      </c>
      <c r="M34" s="13">
        <f>H34-G34-L34</f>
        <v/>
      </c>
      <c r="N34" s="10">
        <f>IF(H34=0,"",M34/H34)</f>
        <v/>
      </c>
      <c r="O34" s="14" t="n">
        <v>56</v>
      </c>
      <c r="P34" s="10">
        <f>Assumptions!$B$19</f>
        <v/>
      </c>
      <c r="Q34" s="13">
        <f>O34*(1-P34)</f>
        <v/>
      </c>
      <c r="R34" s="13">
        <f>Q34-G34</f>
        <v/>
      </c>
      <c r="S34" s="10">
        <f>IF(O34=0,"",R34/O34)</f>
        <v/>
      </c>
    </row>
    <row r="35">
      <c r="A35" t="inlineStr">
        <is>
          <t>Gulab Jamun</t>
        </is>
      </c>
      <c r="B35" t="inlineStr">
        <is>
          <t>Mithai</t>
        </is>
      </c>
      <c r="C35" t="inlineStr">
        <is>
          <t>Deep-fry</t>
        </is>
      </c>
      <c r="D35" s="13" t="n">
        <v>10.65</v>
      </c>
      <c r="E35" s="13">
        <f>VLOOKUP(C35,Assumptions!$A$4:$B$9,2,FALSE)</f>
        <v/>
      </c>
      <c r="F35" s="13" t="n">
        <v>0.3</v>
      </c>
      <c r="G35" s="13">
        <f>D35+E35+F35</f>
        <v/>
      </c>
      <c r="H35" s="14" t="n">
        <v>40</v>
      </c>
      <c r="I35" s="13">
        <f>H35-G35</f>
        <v/>
      </c>
      <c r="J35" s="10">
        <f>IF(H35=0,"",I35/H35)</f>
        <v/>
      </c>
      <c r="K35" t="inlineStr">
        <is>
          <t>SweetBox</t>
        </is>
      </c>
      <c r="L35" s="13">
        <f>VLOOKUP(K35,Assumptions!$A$12:$B$17,2,FALSE)</f>
        <v/>
      </c>
      <c r="M35" s="13">
        <f>H35-G35-L35</f>
        <v/>
      </c>
      <c r="N35" s="10">
        <f>IF(H35=0,"",M35/H35)</f>
        <v/>
      </c>
      <c r="O35" s="14" t="n">
        <v>50</v>
      </c>
      <c r="P35" s="10">
        <f>Assumptions!$B$19</f>
        <v/>
      </c>
      <c r="Q35" s="13">
        <f>O35*(1-P35)</f>
        <v/>
      </c>
      <c r="R35" s="13">
        <f>Q35-G35</f>
        <v/>
      </c>
      <c r="S35" s="10">
        <f>IF(O35=0,"",R35/O35)</f>
        <v/>
      </c>
    </row>
    <row r="36">
      <c r="A36" t="inlineStr">
        <is>
          <t>Jalebi</t>
        </is>
      </c>
      <c r="B36" t="inlineStr">
        <is>
          <t>Mithai</t>
        </is>
      </c>
      <c r="C36" t="inlineStr">
        <is>
          <t>Deep-fry</t>
        </is>
      </c>
      <c r="D36" s="13" t="n">
        <v>16.95</v>
      </c>
      <c r="E36" s="13">
        <f>VLOOKUP(C36,Assumptions!$A$4:$B$9,2,FALSE)</f>
        <v/>
      </c>
      <c r="F36" s="13" t="n">
        <v>0.3</v>
      </c>
      <c r="G36" s="13">
        <f>D36+E36+F36</f>
        <v/>
      </c>
      <c r="H36" s="14" t="n">
        <v>60</v>
      </c>
      <c r="I36" s="13">
        <f>H36-G36</f>
        <v/>
      </c>
      <c r="J36" s="10">
        <f>IF(H36=0,"",I36/H36)</f>
        <v/>
      </c>
      <c r="K36" t="inlineStr">
        <is>
          <t>SweetBox</t>
        </is>
      </c>
      <c r="L36" s="13">
        <f>VLOOKUP(K36,Assumptions!$A$12:$B$17,2,FALSE)</f>
        <v/>
      </c>
      <c r="M36" s="13">
        <f>H36-G36-L36</f>
        <v/>
      </c>
      <c r="N36" s="10">
        <f>IF(H36=0,"",M36/H36)</f>
        <v/>
      </c>
      <c r="O36" s="14" t="n">
        <v>75</v>
      </c>
      <c r="P36" s="10">
        <f>Assumptions!$B$19</f>
        <v/>
      </c>
      <c r="Q36" s="13">
        <f>O36*(1-P36)</f>
        <v/>
      </c>
      <c r="R36" s="13">
        <f>Q36-G36</f>
        <v/>
      </c>
      <c r="S36" s="10">
        <f>IF(O36=0,"",R36/O36)</f>
        <v/>
      </c>
    </row>
    <row r="37">
      <c r="A37" t="inlineStr">
        <is>
          <t>Kala Jamun</t>
        </is>
      </c>
      <c r="B37" t="inlineStr">
        <is>
          <t>Mithai</t>
        </is>
      </c>
      <c r="C37" t="inlineStr">
        <is>
          <t>Deep-fry</t>
        </is>
      </c>
      <c r="D37" s="13" t="n">
        <v>12.22</v>
      </c>
      <c r="E37" s="13">
        <f>VLOOKUP(C37,Assumptions!$A$4:$B$9,2,FALSE)</f>
        <v/>
      </c>
      <c r="F37" s="13" t="n">
        <v>0.3</v>
      </c>
      <c r="G37" s="13">
        <f>D37+E37+F37</f>
        <v/>
      </c>
      <c r="H37" s="14" t="n">
        <v>45</v>
      </c>
      <c r="I37" s="13">
        <f>H37-G37</f>
        <v/>
      </c>
      <c r="J37" s="10">
        <f>IF(H37=0,"",I37/H37)</f>
        <v/>
      </c>
      <c r="K37" t="inlineStr">
        <is>
          <t>SweetBox</t>
        </is>
      </c>
      <c r="L37" s="13">
        <f>VLOOKUP(K37,Assumptions!$A$12:$B$17,2,FALSE)</f>
        <v/>
      </c>
      <c r="M37" s="13">
        <f>H37-G37-L37</f>
        <v/>
      </c>
      <c r="N37" s="10">
        <f>IF(H37=0,"",M37/H37)</f>
        <v/>
      </c>
      <c r="O37" s="14" t="n">
        <v>56</v>
      </c>
      <c r="P37" s="10">
        <f>Assumptions!$B$19</f>
        <v/>
      </c>
      <c r="Q37" s="13">
        <f>O37*(1-P37)</f>
        <v/>
      </c>
      <c r="R37" s="13">
        <f>Q37-G37</f>
        <v/>
      </c>
      <c r="S37" s="10">
        <f>IF(O37=0,"",R37/O37)</f>
        <v/>
      </c>
    </row>
    <row r="38">
      <c r="A38" t="inlineStr">
        <is>
          <t>Kesar Rabdi</t>
        </is>
      </c>
      <c r="B38" t="inlineStr">
        <is>
          <t>Mithai</t>
        </is>
      </c>
      <c r="C38" t="inlineStr">
        <is>
          <t>Milk-reduce</t>
        </is>
      </c>
      <c r="D38" s="13" t="n">
        <v>21.41</v>
      </c>
      <c r="E38" s="13">
        <f>VLOOKUP(C38,Assumptions!$A$4:$B$9,2,FALSE)</f>
        <v/>
      </c>
      <c r="F38" s="13" t="n">
        <v>0.3</v>
      </c>
      <c r="G38" s="13">
        <f>D38+E38+F38</f>
        <v/>
      </c>
      <c r="H38" s="14" t="n">
        <v>80</v>
      </c>
      <c r="I38" s="13">
        <f>H38-G38</f>
        <v/>
      </c>
      <c r="J38" s="10">
        <f>IF(H38=0,"",I38/H38)</f>
        <v/>
      </c>
      <c r="K38" t="inlineStr">
        <is>
          <t>SweetBox</t>
        </is>
      </c>
      <c r="L38" s="13">
        <f>VLOOKUP(K38,Assumptions!$A$12:$B$17,2,FALSE)</f>
        <v/>
      </c>
      <c r="M38" s="13">
        <f>H38-G38-L38</f>
        <v/>
      </c>
      <c r="N38" s="10">
        <f>IF(H38=0,"",M38/H38)</f>
        <v/>
      </c>
      <c r="O38" s="14" t="n">
        <v>100</v>
      </c>
      <c r="P38" s="10">
        <f>Assumptions!$B$19</f>
        <v/>
      </c>
      <c r="Q38" s="13">
        <f>O38*(1-P38)</f>
        <v/>
      </c>
      <c r="R38" s="13">
        <f>Q38-G38</f>
        <v/>
      </c>
      <c r="S38" s="10">
        <f>IF(O38=0,"",R38/O38)</f>
        <v/>
      </c>
    </row>
    <row r="39">
      <c r="A39" t="inlineStr">
        <is>
          <t>Malpua</t>
        </is>
      </c>
      <c r="B39" t="inlineStr">
        <is>
          <t>Mithai</t>
        </is>
      </c>
      <c r="C39" t="inlineStr">
        <is>
          <t>Deep-fry</t>
        </is>
      </c>
      <c r="D39" s="13" t="n">
        <v>13.12</v>
      </c>
      <c r="E39" s="13">
        <f>VLOOKUP(C39,Assumptions!$A$4:$B$9,2,FALSE)</f>
        <v/>
      </c>
      <c r="F39" s="13" t="n">
        <v>0.3</v>
      </c>
      <c r="G39" s="13">
        <f>D39+E39+F39</f>
        <v/>
      </c>
      <c r="H39" s="14" t="n">
        <v>80</v>
      </c>
      <c r="I39" s="13">
        <f>H39-G39</f>
        <v/>
      </c>
      <c r="J39" s="10">
        <f>IF(H39=0,"",I39/H39)</f>
        <v/>
      </c>
      <c r="K39" t="inlineStr">
        <is>
          <t>SweetBox</t>
        </is>
      </c>
      <c r="L39" s="13">
        <f>VLOOKUP(K39,Assumptions!$A$12:$B$17,2,FALSE)</f>
        <v/>
      </c>
      <c r="M39" s="13">
        <f>H39-G39-L39</f>
        <v/>
      </c>
      <c r="N39" s="10">
        <f>IF(H39=0,"",M39/H39)</f>
        <v/>
      </c>
      <c r="O39" s="14" t="n">
        <v>100</v>
      </c>
      <c r="P39" s="10">
        <f>Assumptions!$B$19</f>
        <v/>
      </c>
      <c r="Q39" s="13">
        <f>O39*(1-P39)</f>
        <v/>
      </c>
      <c r="R39" s="13">
        <f>Q39-G39</f>
        <v/>
      </c>
      <c r="S39" s="10">
        <f>IF(O39=0,"",R39/O39)</f>
        <v/>
      </c>
    </row>
    <row r="40">
      <c r="A40" t="inlineStr">
        <is>
          <t>Mathura Peda</t>
        </is>
      </c>
      <c r="B40" t="inlineStr">
        <is>
          <t>Mithai</t>
        </is>
      </c>
      <c r="C40" t="inlineStr">
        <is>
          <t>Milk-reduce</t>
        </is>
      </c>
      <c r="D40" s="13" t="n">
        <v>299.76</v>
      </c>
      <c r="E40" s="13">
        <f>VLOOKUP(C40,Assumptions!$A$4:$B$9,2,FALSE)</f>
        <v/>
      </c>
      <c r="F40" s="13" t="n">
        <v>0.3</v>
      </c>
      <c r="G40" s="13">
        <f>D40+E40+F40</f>
        <v/>
      </c>
      <c r="H40" s="14" t="n">
        <v>700</v>
      </c>
      <c r="I40" s="13">
        <f>H40-G40</f>
        <v/>
      </c>
      <c r="J40" s="10">
        <f>IF(H40=0,"",I40/H40)</f>
        <v/>
      </c>
      <c r="K40" t="inlineStr">
        <is>
          <t>SweetBox</t>
        </is>
      </c>
      <c r="L40" s="13">
        <f>VLOOKUP(K40,Assumptions!$A$12:$B$17,2,FALSE)</f>
        <v/>
      </c>
      <c r="M40" s="13">
        <f>H40-G40-L40</f>
        <v/>
      </c>
      <c r="N40" s="10">
        <f>IF(H40=0,"",M40/H40)</f>
        <v/>
      </c>
      <c r="O40" s="14" t="n">
        <v>875</v>
      </c>
      <c r="P40" s="10">
        <f>Assumptions!$B$19</f>
        <v/>
      </c>
      <c r="Q40" s="13">
        <f>O40*(1-P40)</f>
        <v/>
      </c>
      <c r="R40" s="13">
        <f>Q40-G40</f>
        <v/>
      </c>
      <c r="S40" s="10">
        <f>IF(O40=0,"",R40/O40)</f>
        <v/>
      </c>
    </row>
    <row r="41">
      <c r="A41" t="inlineStr">
        <is>
          <t>Rabdi Jalebi (combo)</t>
        </is>
      </c>
      <c r="B41" t="inlineStr">
        <is>
          <t>Mithai</t>
        </is>
      </c>
      <c r="C41" t="inlineStr">
        <is>
          <t>Milk-reduce</t>
        </is>
      </c>
      <c r="D41" s="13" t="n">
        <v>38.36</v>
      </c>
      <c r="E41" s="13">
        <f>VLOOKUP(C41,Assumptions!$A$4:$B$9,2,FALSE)</f>
        <v/>
      </c>
      <c r="F41" s="13" t="n">
        <v>0.3</v>
      </c>
      <c r="G41" s="13">
        <f>D41+E41+F41</f>
        <v/>
      </c>
      <c r="H41" s="14" t="n">
        <v>140</v>
      </c>
      <c r="I41" s="13">
        <f>H41-G41</f>
        <v/>
      </c>
      <c r="J41" s="10">
        <f>IF(H41=0,"",I41/H41)</f>
        <v/>
      </c>
      <c r="K41" t="inlineStr">
        <is>
          <t>SweetBox</t>
        </is>
      </c>
      <c r="L41" s="13">
        <f>VLOOKUP(K41,Assumptions!$A$12:$B$17,2,FALSE)</f>
        <v/>
      </c>
      <c r="M41" s="13">
        <f>H41-G41-L41</f>
        <v/>
      </c>
      <c r="N41" s="10">
        <f>IF(H41=0,"",M41/H41)</f>
        <v/>
      </c>
      <c r="O41" s="14" t="n">
        <v>175</v>
      </c>
      <c r="P41" s="10">
        <f>Assumptions!$B$19</f>
        <v/>
      </c>
      <c r="Q41" s="13">
        <f>O41*(1-P41)</f>
        <v/>
      </c>
      <c r="R41" s="13">
        <f>Q41-G41</f>
        <v/>
      </c>
      <c r="S41" s="10">
        <f>IF(O41=0,"",R41/O41)</f>
        <v/>
      </c>
    </row>
    <row r="42">
      <c r="A42" t="inlineStr">
        <is>
          <t>Rasgulla</t>
        </is>
      </c>
      <c r="B42" t="inlineStr">
        <is>
          <t>Mithai</t>
        </is>
      </c>
      <c r="C42" t="inlineStr">
        <is>
          <t>Deep-fry</t>
        </is>
      </c>
      <c r="D42" s="13" t="n">
        <v>11.53</v>
      </c>
      <c r="E42" s="13">
        <f>VLOOKUP(C42,Assumptions!$A$4:$B$9,2,FALSE)</f>
        <v/>
      </c>
      <c r="F42" s="13" t="n">
        <v>0.3</v>
      </c>
      <c r="G42" s="13">
        <f>D42+E42+F42</f>
        <v/>
      </c>
      <c r="H42" s="14" t="n">
        <v>35</v>
      </c>
      <c r="I42" s="13">
        <f>H42-G42</f>
        <v/>
      </c>
      <c r="J42" s="10">
        <f>IF(H42=0,"",I42/H42)</f>
        <v/>
      </c>
      <c r="K42" t="inlineStr">
        <is>
          <t>SweetBox</t>
        </is>
      </c>
      <c r="L42" s="13">
        <f>VLOOKUP(K42,Assumptions!$A$12:$B$17,2,FALSE)</f>
        <v/>
      </c>
      <c r="M42" s="13">
        <f>H42-G42-L42</f>
        <v/>
      </c>
      <c r="N42" s="10">
        <f>IF(H42=0,"",M42/H42)</f>
        <v/>
      </c>
      <c r="O42" s="14" t="n">
        <v>44</v>
      </c>
      <c r="P42" s="10">
        <f>Assumptions!$B$19</f>
        <v/>
      </c>
      <c r="Q42" s="13">
        <f>O42*(1-P42)</f>
        <v/>
      </c>
      <c r="R42" s="13">
        <f>Q42-G42</f>
        <v/>
      </c>
      <c r="S42" s="10">
        <f>IF(O42=0,"",R42/O42)</f>
        <v/>
      </c>
    </row>
    <row r="43">
      <c r="A43" t="inlineStr">
        <is>
          <t>Rasmalai</t>
        </is>
      </c>
      <c r="B43" t="inlineStr">
        <is>
          <t>Mithai</t>
        </is>
      </c>
      <c r="C43" t="inlineStr">
        <is>
          <t>Milk-reduce</t>
        </is>
      </c>
      <c r="D43" s="13" t="n">
        <v>21.34</v>
      </c>
      <c r="E43" s="13">
        <f>VLOOKUP(C43,Assumptions!$A$4:$B$9,2,FALSE)</f>
        <v/>
      </c>
      <c r="F43" s="13" t="n">
        <v>0.3</v>
      </c>
      <c r="G43" s="13">
        <f>D43+E43+F43</f>
        <v/>
      </c>
      <c r="H43" s="14" t="n">
        <v>80</v>
      </c>
      <c r="I43" s="13">
        <f>H43-G43</f>
        <v/>
      </c>
      <c r="J43" s="10">
        <f>IF(H43=0,"",I43/H43)</f>
        <v/>
      </c>
      <c r="K43" t="inlineStr">
        <is>
          <t>SweetBox</t>
        </is>
      </c>
      <c r="L43" s="13">
        <f>VLOOKUP(K43,Assumptions!$A$12:$B$17,2,FALSE)</f>
        <v/>
      </c>
      <c r="M43" s="13">
        <f>H43-G43-L43</f>
        <v/>
      </c>
      <c r="N43" s="10">
        <f>IF(H43=0,"",M43/H43)</f>
        <v/>
      </c>
      <c r="O43" s="14" t="n">
        <v>100</v>
      </c>
      <c r="P43" s="10">
        <f>Assumptions!$B$19</f>
        <v/>
      </c>
      <c r="Q43" s="13">
        <f>O43*(1-P43)</f>
        <v/>
      </c>
      <c r="R43" s="13">
        <f>Q43-G43</f>
        <v/>
      </c>
      <c r="S43" s="10">
        <f>IF(O43=0,"",R43/O43)</f>
        <v/>
      </c>
    </row>
    <row r="44">
      <c r="A44" t="inlineStr">
        <is>
          <t>Mirchi Bada</t>
        </is>
      </c>
      <c r="B44" t="inlineStr">
        <is>
          <t>Pakora</t>
        </is>
      </c>
      <c r="C44" t="inlineStr">
        <is>
          <t>Deep-fry</t>
        </is>
      </c>
      <c r="D44" s="13" t="n">
        <v>22.87</v>
      </c>
      <c r="E44" s="13">
        <f>VLOOKUP(C44,Assumptions!$A$4:$B$9,2,FALSE)</f>
        <v/>
      </c>
      <c r="F44" s="13" t="n">
        <v>1</v>
      </c>
      <c r="G44" s="13">
        <f>D44+E44+F44</f>
        <v/>
      </c>
      <c r="H44" s="14" t="n">
        <v>40</v>
      </c>
      <c r="I44" s="13">
        <f>H44-G44</f>
        <v/>
      </c>
      <c r="J44" s="10">
        <f>IF(H44=0,"",I44/H44)</f>
        <v/>
      </c>
      <c r="K44" t="inlineStr">
        <is>
          <t>Medium</t>
        </is>
      </c>
      <c r="L44" s="13">
        <f>VLOOKUP(K44,Assumptions!$A$12:$B$17,2,FALSE)</f>
        <v/>
      </c>
      <c r="M44" s="13">
        <f>H44-G44-L44</f>
        <v/>
      </c>
      <c r="N44" s="10">
        <f>IF(H44=0,"",M44/H44)</f>
        <v/>
      </c>
      <c r="O44" s="14" t="n">
        <v>50</v>
      </c>
      <c r="P44" s="10">
        <f>Assumptions!$B$19</f>
        <v/>
      </c>
      <c r="Q44" s="13">
        <f>O44*(1-P44)</f>
        <v/>
      </c>
      <c r="R44" s="13">
        <f>Q44-G44</f>
        <v/>
      </c>
      <c r="S44" s="10">
        <f>IF(O44=0,"",R44/O44)</f>
        <v/>
      </c>
    </row>
    <row r="45">
      <c r="A45" t="inlineStr">
        <is>
          <t>Mix Pakora</t>
        </is>
      </c>
      <c r="B45" t="inlineStr">
        <is>
          <t>Pakora</t>
        </is>
      </c>
      <c r="C45" t="inlineStr">
        <is>
          <t>Deep-fry</t>
        </is>
      </c>
      <c r="D45" s="13" t="n">
        <v>2.84</v>
      </c>
      <c r="E45" s="13">
        <f>VLOOKUP(C45,Assumptions!$A$4:$B$9,2,FALSE)</f>
        <v/>
      </c>
      <c r="F45" s="13" t="n">
        <v>1</v>
      </c>
      <c r="G45" s="13">
        <f>D45+E45+F45</f>
        <v/>
      </c>
      <c r="H45" s="14" t="n">
        <v>35</v>
      </c>
      <c r="I45" s="13">
        <f>H45-G45</f>
        <v/>
      </c>
      <c r="J45" s="10">
        <f>IF(H45=0,"",I45/H45)</f>
        <v/>
      </c>
      <c r="K45" t="inlineStr">
        <is>
          <t>Medium</t>
        </is>
      </c>
      <c r="L45" s="13">
        <f>VLOOKUP(K45,Assumptions!$A$12:$B$17,2,FALSE)</f>
        <v/>
      </c>
      <c r="M45" s="13">
        <f>H45-G45-L45</f>
        <v/>
      </c>
      <c r="N45" s="10">
        <f>IF(H45=0,"",M45/H45)</f>
        <v/>
      </c>
      <c r="O45" s="14" t="n">
        <v>44</v>
      </c>
      <c r="P45" s="10">
        <f>Assumptions!$B$19</f>
        <v/>
      </c>
      <c r="Q45" s="13">
        <f>O45*(1-P45)</f>
        <v/>
      </c>
      <c r="R45" s="13">
        <f>Q45-G45</f>
        <v/>
      </c>
      <c r="S45" s="10">
        <f>IF(O45=0,"",R45/O45)</f>
        <v/>
      </c>
    </row>
    <row r="46">
      <c r="A46" t="inlineStr">
        <is>
          <t>Moong Bhajiya</t>
        </is>
      </c>
      <c r="B46" t="inlineStr">
        <is>
          <t>Pakora</t>
        </is>
      </c>
      <c r="C46" t="inlineStr">
        <is>
          <t>Deep-fry</t>
        </is>
      </c>
      <c r="D46" s="13" t="n">
        <v>22.41</v>
      </c>
      <c r="E46" s="13">
        <f>VLOOKUP(C46,Assumptions!$A$4:$B$9,2,FALSE)</f>
        <v/>
      </c>
      <c r="F46" s="13" t="n">
        <v>1</v>
      </c>
      <c r="G46" s="13">
        <f>D46+E46+F46</f>
        <v/>
      </c>
      <c r="H46" s="14" t="n">
        <v>50</v>
      </c>
      <c r="I46" s="13">
        <f>H46-G46</f>
        <v/>
      </c>
      <c r="J46" s="10">
        <f>IF(H46=0,"",I46/H46)</f>
        <v/>
      </c>
      <c r="K46" t="inlineStr">
        <is>
          <t>Medium</t>
        </is>
      </c>
      <c r="L46" s="13">
        <f>VLOOKUP(K46,Assumptions!$A$12:$B$17,2,FALSE)</f>
        <v/>
      </c>
      <c r="M46" s="13">
        <f>H46-G46-L46</f>
        <v/>
      </c>
      <c r="N46" s="10">
        <f>IF(H46=0,"",M46/H46)</f>
        <v/>
      </c>
      <c r="O46" s="14" t="n">
        <v>62</v>
      </c>
      <c r="P46" s="10">
        <f>Assumptions!$B$19</f>
        <v/>
      </c>
      <c r="Q46" s="13">
        <f>O46*(1-P46)</f>
        <v/>
      </c>
      <c r="R46" s="13">
        <f>Q46-G46</f>
        <v/>
      </c>
      <c r="S46" s="10">
        <f>IF(O46=0,"",R46/O46)</f>
        <v/>
      </c>
    </row>
    <row r="47">
      <c r="A47" t="inlineStr">
        <is>
          <t>Paneer Pakora</t>
        </is>
      </c>
      <c r="B47" t="inlineStr">
        <is>
          <t>Pakora</t>
        </is>
      </c>
      <c r="C47" t="inlineStr">
        <is>
          <t>Deep-fry</t>
        </is>
      </c>
      <c r="D47" s="13" t="n">
        <v>47.13</v>
      </c>
      <c r="E47" s="13">
        <f>VLOOKUP(C47,Assumptions!$A$4:$B$9,2,FALSE)</f>
        <v/>
      </c>
      <c r="F47" s="13" t="n">
        <v>1</v>
      </c>
      <c r="G47" s="13">
        <f>D47+E47+F47</f>
        <v/>
      </c>
      <c r="H47" s="14" t="n">
        <v>99</v>
      </c>
      <c r="I47" s="13">
        <f>H47-G47</f>
        <v/>
      </c>
      <c r="J47" s="10">
        <f>IF(H47=0,"",I47/H47)</f>
        <v/>
      </c>
      <c r="K47" t="inlineStr">
        <is>
          <t>Medium</t>
        </is>
      </c>
      <c r="L47" s="13">
        <f>VLOOKUP(K47,Assumptions!$A$12:$B$17,2,FALSE)</f>
        <v/>
      </c>
      <c r="M47" s="13">
        <f>H47-G47-L47</f>
        <v/>
      </c>
      <c r="N47" s="10">
        <f>IF(H47=0,"",M47/H47)</f>
        <v/>
      </c>
      <c r="O47" s="14" t="n">
        <v>124</v>
      </c>
      <c r="P47" s="10">
        <f>Assumptions!$B$19</f>
        <v/>
      </c>
      <c r="Q47" s="13">
        <f>O47*(1-P47)</f>
        <v/>
      </c>
      <c r="R47" s="13">
        <f>Q47-G47</f>
        <v/>
      </c>
      <c r="S47" s="10">
        <f>IF(O47=0,"",R47/O47)</f>
        <v/>
      </c>
    </row>
    <row r="48">
      <c r="A48" t="inlineStr">
        <is>
          <t>Pyaz Pakora</t>
        </is>
      </c>
      <c r="B48" t="inlineStr">
        <is>
          <t>Pakora</t>
        </is>
      </c>
      <c r="C48" t="inlineStr">
        <is>
          <t>Deep-fry</t>
        </is>
      </c>
      <c r="D48" s="13" t="n">
        <v>4.14</v>
      </c>
      <c r="E48" s="13">
        <f>VLOOKUP(C48,Assumptions!$A$4:$B$9,2,FALSE)</f>
        <v/>
      </c>
      <c r="F48" s="13" t="n">
        <v>1</v>
      </c>
      <c r="G48" s="13">
        <f>D48+E48+F48</f>
        <v/>
      </c>
      <c r="H48" s="14" t="n">
        <v>35</v>
      </c>
      <c r="I48" s="13">
        <f>H48-G48</f>
        <v/>
      </c>
      <c r="J48" s="10">
        <f>IF(H48=0,"",I48/H48)</f>
        <v/>
      </c>
      <c r="K48" t="inlineStr">
        <is>
          <t>Medium</t>
        </is>
      </c>
      <c r="L48" s="13">
        <f>VLOOKUP(K48,Assumptions!$A$12:$B$17,2,FALSE)</f>
        <v/>
      </c>
      <c r="M48" s="13">
        <f>H48-G48-L48</f>
        <v/>
      </c>
      <c r="N48" s="10">
        <f>IF(H48=0,"",M48/H48)</f>
        <v/>
      </c>
      <c r="O48" s="14" t="n">
        <v>44</v>
      </c>
      <c r="P48" s="10">
        <f>Assumptions!$B$19</f>
        <v/>
      </c>
      <c r="Q48" s="13">
        <f>O48*(1-P48)</f>
        <v/>
      </c>
      <c r="R48" s="13">
        <f>Q48-G48</f>
        <v/>
      </c>
      <c r="S48" s="10">
        <f>IF(O48=0,"",R48/O48)</f>
        <v/>
      </c>
    </row>
    <row r="49">
      <c r="A49" t="inlineStr">
        <is>
          <t>Aloo Paratha</t>
        </is>
      </c>
      <c r="B49" t="inlineStr">
        <is>
          <t>Parathe</t>
        </is>
      </c>
      <c r="C49" t="inlineStr">
        <is>
          <t>Tawa</t>
        </is>
      </c>
      <c r="D49" s="13" t="n">
        <v>17.11</v>
      </c>
      <c r="E49" s="13">
        <f>VLOOKUP(C49,Assumptions!$A$4:$B$9,2,FALSE)</f>
        <v/>
      </c>
      <c r="F49" s="13" t="n">
        <v>0.3</v>
      </c>
      <c r="G49" s="13">
        <f>D49+E49+F49</f>
        <v/>
      </c>
      <c r="H49" s="14" t="n">
        <v>99</v>
      </c>
      <c r="I49" s="13">
        <f>H49-G49</f>
        <v/>
      </c>
      <c r="J49" s="10">
        <f>IF(H49=0,"",I49/H49)</f>
        <v/>
      </c>
      <c r="K49" t="inlineStr">
        <is>
          <t>Large</t>
        </is>
      </c>
      <c r="L49" s="13">
        <f>VLOOKUP(K49,Assumptions!$A$12:$B$17,2,FALSE)</f>
        <v/>
      </c>
      <c r="M49" s="13">
        <f>H49-G49-L49</f>
        <v/>
      </c>
      <c r="N49" s="10">
        <f>IF(H49=0,"",M49/H49)</f>
        <v/>
      </c>
      <c r="O49" s="14" t="n">
        <v>124</v>
      </c>
      <c r="P49" s="10">
        <f>Assumptions!$B$19</f>
        <v/>
      </c>
      <c r="Q49" s="13">
        <f>O49*(1-P49)</f>
        <v/>
      </c>
      <c r="R49" s="13">
        <f>Q49-G49</f>
        <v/>
      </c>
      <c r="S49" s="10">
        <f>IF(O49=0,"",R49/O49)</f>
        <v/>
      </c>
    </row>
    <row r="50">
      <c r="A50" t="inlineStr">
        <is>
          <t>Aloo Pyaz Paratha</t>
        </is>
      </c>
      <c r="B50" t="inlineStr">
        <is>
          <t>Parathe</t>
        </is>
      </c>
      <c r="C50" t="inlineStr">
        <is>
          <t>Tawa</t>
        </is>
      </c>
      <c r="D50" s="13" t="n">
        <v>16.77</v>
      </c>
      <c r="E50" s="13">
        <f>VLOOKUP(C50,Assumptions!$A$4:$B$9,2,FALSE)</f>
        <v/>
      </c>
      <c r="F50" s="13" t="n">
        <v>0.3</v>
      </c>
      <c r="G50" s="13">
        <f>D50+E50+F50</f>
        <v/>
      </c>
      <c r="H50" s="14" t="n">
        <v>99</v>
      </c>
      <c r="I50" s="13">
        <f>H50-G50</f>
        <v/>
      </c>
      <c r="J50" s="10">
        <f>IF(H50=0,"",I50/H50)</f>
        <v/>
      </c>
      <c r="K50" t="inlineStr">
        <is>
          <t>Large</t>
        </is>
      </c>
      <c r="L50" s="13">
        <f>VLOOKUP(K50,Assumptions!$A$12:$B$17,2,FALSE)</f>
        <v/>
      </c>
      <c r="M50" s="13">
        <f>H50-G50-L50</f>
        <v/>
      </c>
      <c r="N50" s="10">
        <f>IF(H50=0,"",M50/H50)</f>
        <v/>
      </c>
      <c r="O50" s="14" t="n">
        <v>124</v>
      </c>
      <c r="P50" s="10">
        <f>Assumptions!$B$19</f>
        <v/>
      </c>
      <c r="Q50" s="13">
        <f>O50*(1-P50)</f>
        <v/>
      </c>
      <c r="R50" s="13">
        <f>Q50-G50</f>
        <v/>
      </c>
      <c r="S50" s="10">
        <f>IF(O50=0,"",R50/O50)</f>
        <v/>
      </c>
    </row>
    <row r="51">
      <c r="A51" t="inlineStr">
        <is>
          <t>Gobhi Paratha</t>
        </is>
      </c>
      <c r="B51" t="inlineStr">
        <is>
          <t>Parathe</t>
        </is>
      </c>
      <c r="C51" t="inlineStr">
        <is>
          <t>Tawa</t>
        </is>
      </c>
      <c r="D51" s="13" t="n">
        <v>17.2</v>
      </c>
      <c r="E51" s="13">
        <f>VLOOKUP(C51,Assumptions!$A$4:$B$9,2,FALSE)</f>
        <v/>
      </c>
      <c r="F51" s="13" t="n">
        <v>0.3</v>
      </c>
      <c r="G51" s="13">
        <f>D51+E51+F51</f>
        <v/>
      </c>
      <c r="H51" s="14" t="n">
        <v>99</v>
      </c>
      <c r="I51" s="13">
        <f>H51-G51</f>
        <v/>
      </c>
      <c r="J51" s="10">
        <f>IF(H51=0,"",I51/H51)</f>
        <v/>
      </c>
      <c r="K51" t="inlineStr">
        <is>
          <t>Large</t>
        </is>
      </c>
      <c r="L51" s="13">
        <f>VLOOKUP(K51,Assumptions!$A$12:$B$17,2,FALSE)</f>
        <v/>
      </c>
      <c r="M51" s="13">
        <f>H51-G51-L51</f>
        <v/>
      </c>
      <c r="N51" s="10">
        <f>IF(H51=0,"",M51/H51)</f>
        <v/>
      </c>
      <c r="O51" s="14" t="n">
        <v>124</v>
      </c>
      <c r="P51" s="10">
        <f>Assumptions!$B$19</f>
        <v/>
      </c>
      <c r="Q51" s="13">
        <f>O51*(1-P51)</f>
        <v/>
      </c>
      <c r="R51" s="13">
        <f>Q51-G51</f>
        <v/>
      </c>
      <c r="S51" s="10">
        <f>IF(O51=0,"",R51/O51)</f>
        <v/>
      </c>
    </row>
    <row r="52">
      <c r="A52" t="inlineStr">
        <is>
          <t>Methi Paratha</t>
        </is>
      </c>
      <c r="B52" t="inlineStr">
        <is>
          <t>Parathe</t>
        </is>
      </c>
      <c r="C52" t="inlineStr">
        <is>
          <t>Tawa</t>
        </is>
      </c>
      <c r="D52" s="13" t="n">
        <v>16.41</v>
      </c>
      <c r="E52" s="13">
        <f>VLOOKUP(C52,Assumptions!$A$4:$B$9,2,FALSE)</f>
        <v/>
      </c>
      <c r="F52" s="13" t="n">
        <v>0.3</v>
      </c>
      <c r="G52" s="13">
        <f>D52+E52+F52</f>
        <v/>
      </c>
      <c r="H52" s="14" t="n">
        <v>99</v>
      </c>
      <c r="I52" s="13">
        <f>H52-G52</f>
        <v/>
      </c>
      <c r="J52" s="10">
        <f>IF(H52=0,"",I52/H52)</f>
        <v/>
      </c>
      <c r="K52" t="inlineStr">
        <is>
          <t>Large</t>
        </is>
      </c>
      <c r="L52" s="13">
        <f>VLOOKUP(K52,Assumptions!$A$12:$B$17,2,FALSE)</f>
        <v/>
      </c>
      <c r="M52" s="13">
        <f>H52-G52-L52</f>
        <v/>
      </c>
      <c r="N52" s="10">
        <f>IF(H52=0,"",M52/H52)</f>
        <v/>
      </c>
      <c r="O52" s="14" t="n">
        <v>124</v>
      </c>
      <c r="P52" s="10">
        <f>Assumptions!$B$19</f>
        <v/>
      </c>
      <c r="Q52" s="13">
        <f>O52*(1-P52)</f>
        <v/>
      </c>
      <c r="R52" s="13">
        <f>Q52-G52</f>
        <v/>
      </c>
      <c r="S52" s="10">
        <f>IF(O52=0,"",R52/O52)</f>
        <v/>
      </c>
    </row>
    <row r="53">
      <c r="A53" t="inlineStr">
        <is>
          <t>Mix Paratha</t>
        </is>
      </c>
      <c r="B53" t="inlineStr">
        <is>
          <t>Parathe</t>
        </is>
      </c>
      <c r="C53" t="inlineStr">
        <is>
          <t>Tawa</t>
        </is>
      </c>
      <c r="D53" s="13" t="n">
        <v>18.31</v>
      </c>
      <c r="E53" s="13">
        <f>VLOOKUP(C53,Assumptions!$A$4:$B$9,2,FALSE)</f>
        <v/>
      </c>
      <c r="F53" s="13" t="n">
        <v>0.3</v>
      </c>
      <c r="G53" s="13">
        <f>D53+E53+F53</f>
        <v/>
      </c>
      <c r="H53" s="14" t="n">
        <v>99</v>
      </c>
      <c r="I53" s="13">
        <f>H53-G53</f>
        <v/>
      </c>
      <c r="J53" s="10">
        <f>IF(H53=0,"",I53/H53)</f>
        <v/>
      </c>
      <c r="K53" t="inlineStr">
        <is>
          <t>Large</t>
        </is>
      </c>
      <c r="L53" s="13">
        <f>VLOOKUP(K53,Assumptions!$A$12:$B$17,2,FALSE)</f>
        <v/>
      </c>
      <c r="M53" s="13">
        <f>H53-G53-L53</f>
        <v/>
      </c>
      <c r="N53" s="10">
        <f>IF(H53=0,"",M53/H53)</f>
        <v/>
      </c>
      <c r="O53" s="14" t="n">
        <v>124</v>
      </c>
      <c r="P53" s="10">
        <f>Assumptions!$B$19</f>
        <v/>
      </c>
      <c r="Q53" s="13">
        <f>O53*(1-P53)</f>
        <v/>
      </c>
      <c r="R53" s="13">
        <f>Q53-G53</f>
        <v/>
      </c>
      <c r="S53" s="10">
        <f>IF(O53=0,"",R53/O53)</f>
        <v/>
      </c>
    </row>
    <row r="54">
      <c r="A54" t="inlineStr">
        <is>
          <t>Paneer Paratha</t>
        </is>
      </c>
      <c r="B54" t="inlineStr">
        <is>
          <t>Parathe</t>
        </is>
      </c>
      <c r="C54" t="inlineStr">
        <is>
          <t>Tawa</t>
        </is>
      </c>
      <c r="D54" s="13" t="n">
        <v>28.8</v>
      </c>
      <c r="E54" s="13">
        <f>VLOOKUP(C54,Assumptions!$A$4:$B$9,2,FALSE)</f>
        <v/>
      </c>
      <c r="F54" s="13" t="n">
        <v>0.3</v>
      </c>
      <c r="G54" s="13">
        <f>D54+E54+F54</f>
        <v/>
      </c>
      <c r="H54" s="14" t="n">
        <v>129</v>
      </c>
      <c r="I54" s="13">
        <f>H54-G54</f>
        <v/>
      </c>
      <c r="J54" s="10">
        <f>IF(H54=0,"",I54/H54)</f>
        <v/>
      </c>
      <c r="K54" t="inlineStr">
        <is>
          <t>Large</t>
        </is>
      </c>
      <c r="L54" s="13">
        <f>VLOOKUP(K54,Assumptions!$A$12:$B$17,2,FALSE)</f>
        <v/>
      </c>
      <c r="M54" s="13">
        <f>H54-G54-L54</f>
        <v/>
      </c>
      <c r="N54" s="10">
        <f>IF(H54=0,"",M54/H54)</f>
        <v/>
      </c>
      <c r="O54" s="14" t="n">
        <v>161</v>
      </c>
      <c r="P54" s="10">
        <f>Assumptions!$B$19</f>
        <v/>
      </c>
      <c r="Q54" s="13">
        <f>O54*(1-P54)</f>
        <v/>
      </c>
      <c r="R54" s="13">
        <f>Q54-G54</f>
        <v/>
      </c>
      <c r="S54" s="10">
        <f>IF(O54=0,"",R54/O54)</f>
        <v/>
      </c>
    </row>
    <row r="55">
      <c r="A55" t="inlineStr">
        <is>
          <t>Plain Paratha</t>
        </is>
      </c>
      <c r="B55" t="inlineStr">
        <is>
          <t>Parathe</t>
        </is>
      </c>
      <c r="C55" t="inlineStr">
        <is>
          <t>Tawa</t>
        </is>
      </c>
      <c r="D55" s="13" t="n">
        <v>9.43</v>
      </c>
      <c r="E55" s="13">
        <f>VLOOKUP(C55,Assumptions!$A$4:$B$9,2,FALSE)</f>
        <v/>
      </c>
      <c r="F55" s="13" t="n">
        <v>0.3</v>
      </c>
      <c r="G55" s="13">
        <f>D55+E55+F55</f>
        <v/>
      </c>
      <c r="H55" s="14" t="n">
        <v>40</v>
      </c>
      <c r="I55" s="13">
        <f>H55-G55</f>
        <v/>
      </c>
      <c r="J55" s="10">
        <f>IF(H55=0,"",I55/H55)</f>
        <v/>
      </c>
      <c r="K55" t="inlineStr">
        <is>
          <t>Large</t>
        </is>
      </c>
      <c r="L55" s="13">
        <f>VLOOKUP(K55,Assumptions!$A$12:$B$17,2,FALSE)</f>
        <v/>
      </c>
      <c r="M55" s="13">
        <f>H55-G55-L55</f>
        <v/>
      </c>
      <c r="N55" s="10">
        <f>IF(H55=0,"",M55/H55)</f>
        <v/>
      </c>
      <c r="O55" s="14" t="n">
        <v>50</v>
      </c>
      <c r="P55" s="10">
        <f>Assumptions!$B$19</f>
        <v/>
      </c>
      <c r="Q55" s="13">
        <f>O55*(1-P55)</f>
        <v/>
      </c>
      <c r="R55" s="13">
        <f>Q55-G55</f>
        <v/>
      </c>
      <c r="S55" s="10">
        <f>IF(O55=0,"",R55/O55)</f>
        <v/>
      </c>
    </row>
    <row r="56">
      <c r="A56" t="inlineStr">
        <is>
          <t>Atta Dahi Poori</t>
        </is>
      </c>
      <c r="B56" t="inlineStr">
        <is>
          <t>Poori Wala</t>
        </is>
      </c>
      <c r="C56" t="inlineStr">
        <is>
          <t>Deep-fry</t>
        </is>
      </c>
      <c r="D56" s="13" t="n">
        <v>13.21</v>
      </c>
      <c r="E56" s="13">
        <f>VLOOKUP(C56,Assumptions!$A$4:$B$9,2,FALSE)</f>
        <v/>
      </c>
      <c r="F56" s="13" t="n">
        <v>1.5</v>
      </c>
      <c r="G56" s="13">
        <f>D56+E56+F56</f>
        <v/>
      </c>
      <c r="H56" s="14" t="n">
        <v>60</v>
      </c>
      <c r="I56" s="13">
        <f>H56-G56</f>
        <v/>
      </c>
      <c r="J56" s="10">
        <f>IF(H56=0,"",I56/H56)</f>
        <v/>
      </c>
      <c r="K56" t="inlineStr">
        <is>
          <t>Medium</t>
        </is>
      </c>
      <c r="L56" s="13">
        <f>VLOOKUP(K56,Assumptions!$A$12:$B$17,2,FALSE)</f>
        <v/>
      </c>
      <c r="M56" s="13">
        <f>H56-G56-L56</f>
        <v/>
      </c>
      <c r="N56" s="10">
        <f>IF(H56=0,"",M56/H56)</f>
        <v/>
      </c>
      <c r="O56" s="14" t="n">
        <v>75</v>
      </c>
      <c r="P56" s="10">
        <f>Assumptions!$B$19</f>
        <v/>
      </c>
      <c r="Q56" s="13">
        <f>O56*(1-P56)</f>
        <v/>
      </c>
      <c r="R56" s="13">
        <f>Q56-G56</f>
        <v/>
      </c>
      <c r="S56" s="10">
        <f>IF(O56=0,"",R56/O56)</f>
        <v/>
      </c>
    </row>
    <row r="57">
      <c r="A57" t="inlineStr">
        <is>
          <t>Atta Paani Puri</t>
        </is>
      </c>
      <c r="B57" t="inlineStr">
        <is>
          <t>Poori Wala</t>
        </is>
      </c>
      <c r="C57" t="inlineStr">
        <is>
          <t>Deep-fry</t>
        </is>
      </c>
      <c r="D57" s="13" t="n">
        <v>6.89</v>
      </c>
      <c r="E57" s="13">
        <f>VLOOKUP(C57,Assumptions!$A$4:$B$9,2,FALSE)</f>
        <v/>
      </c>
      <c r="F57" s="13" t="n">
        <v>1.5</v>
      </c>
      <c r="G57" s="13">
        <f>D57+E57+F57</f>
        <v/>
      </c>
      <c r="H57" s="14" t="n">
        <v>40</v>
      </c>
      <c r="I57" s="13">
        <f>H57-G57</f>
        <v/>
      </c>
      <c r="J57" s="10">
        <f>IF(H57=0,"",I57/H57)</f>
        <v/>
      </c>
      <c r="K57" t="inlineStr">
        <is>
          <t>Medium</t>
        </is>
      </c>
      <c r="L57" s="13">
        <f>VLOOKUP(K57,Assumptions!$A$12:$B$17,2,FALSE)</f>
        <v/>
      </c>
      <c r="M57" s="13">
        <f>H57-G57-L57</f>
        <v/>
      </c>
      <c r="N57" s="10">
        <f>IF(H57=0,"",M57/H57)</f>
        <v/>
      </c>
      <c r="O57" s="14" t="n">
        <v>50</v>
      </c>
      <c r="P57" s="10">
        <f>Assumptions!$B$19</f>
        <v/>
      </c>
      <c r="Q57" s="13">
        <f>O57*(1-P57)</f>
        <v/>
      </c>
      <c r="R57" s="13">
        <f>Q57-G57</f>
        <v/>
      </c>
      <c r="S57" s="10">
        <f>IF(O57=0,"",R57/O57)</f>
        <v/>
      </c>
    </row>
    <row r="58">
      <c r="A58" t="inlineStr">
        <is>
          <t>Atta SPDP</t>
        </is>
      </c>
      <c r="B58" t="inlineStr">
        <is>
          <t>Poori Wala</t>
        </is>
      </c>
      <c r="C58" t="inlineStr">
        <is>
          <t>Assembled</t>
        </is>
      </c>
      <c r="D58" s="13" t="n">
        <v>13.89</v>
      </c>
      <c r="E58" s="13">
        <f>VLOOKUP(C58,Assumptions!$A$4:$B$9,2,FALSE)</f>
        <v/>
      </c>
      <c r="F58" s="13" t="n">
        <v>1.5</v>
      </c>
      <c r="G58" s="13">
        <f>D58+E58+F58</f>
        <v/>
      </c>
      <c r="H58" s="14" t="n">
        <v>70</v>
      </c>
      <c r="I58" s="13">
        <f>H58-G58</f>
        <v/>
      </c>
      <c r="J58" s="10">
        <f>IF(H58=0,"",I58/H58)</f>
        <v/>
      </c>
      <c r="K58" t="inlineStr">
        <is>
          <t>Medium</t>
        </is>
      </c>
      <c r="L58" s="13">
        <f>VLOOKUP(K58,Assumptions!$A$12:$B$17,2,FALSE)</f>
        <v/>
      </c>
      <c r="M58" s="13">
        <f>H58-G58-L58</f>
        <v/>
      </c>
      <c r="N58" s="10">
        <f>IF(H58=0,"",M58/H58)</f>
        <v/>
      </c>
      <c r="O58" s="14" t="n">
        <v>88</v>
      </c>
      <c r="P58" s="10">
        <f>Assumptions!$B$19</f>
        <v/>
      </c>
      <c r="Q58" s="13">
        <f>O58*(1-P58)</f>
        <v/>
      </c>
      <c r="R58" s="13">
        <f>Q58-G58</f>
        <v/>
      </c>
      <c r="S58" s="10">
        <f>IF(O58=0,"",R58/O58)</f>
        <v/>
      </c>
    </row>
    <row r="59">
      <c r="A59" t="inlineStr">
        <is>
          <t>Atta Sev Poori</t>
        </is>
      </c>
      <c r="B59" t="inlineStr">
        <is>
          <t>Poori Wala</t>
        </is>
      </c>
      <c r="C59" t="inlineStr">
        <is>
          <t>Deep-fry</t>
        </is>
      </c>
      <c r="D59" s="13" t="n">
        <v>14.59</v>
      </c>
      <c r="E59" s="13">
        <f>VLOOKUP(C59,Assumptions!$A$4:$B$9,2,FALSE)</f>
        <v/>
      </c>
      <c r="F59" s="13" t="n">
        <v>1.5</v>
      </c>
      <c r="G59" s="13">
        <f>D59+E59+F59</f>
        <v/>
      </c>
      <c r="H59" s="14" t="n">
        <v>50</v>
      </c>
      <c r="I59" s="13">
        <f>H59-G59</f>
        <v/>
      </c>
      <c r="J59" s="10">
        <f>IF(H59=0,"",I59/H59)</f>
        <v/>
      </c>
      <c r="K59" t="inlineStr">
        <is>
          <t>Medium</t>
        </is>
      </c>
      <c r="L59" s="13">
        <f>VLOOKUP(K59,Assumptions!$A$12:$B$17,2,FALSE)</f>
        <v/>
      </c>
      <c r="M59" s="13">
        <f>H59-G59-L59</f>
        <v/>
      </c>
      <c r="N59" s="10">
        <f>IF(H59=0,"",M59/H59)</f>
        <v/>
      </c>
      <c r="O59" s="14" t="n">
        <v>62</v>
      </c>
      <c r="P59" s="10">
        <f>Assumptions!$B$19</f>
        <v/>
      </c>
      <c r="Q59" s="13">
        <f>O59*(1-P59)</f>
        <v/>
      </c>
      <c r="R59" s="13">
        <f>Q59-G59</f>
        <v/>
      </c>
      <c r="S59" s="10">
        <f>IF(O59=0,"",R59/O59)</f>
        <v/>
      </c>
    </row>
    <row r="60">
      <c r="A60" t="inlineStr">
        <is>
          <t>Sooji Dahi Poori</t>
        </is>
      </c>
      <c r="B60" t="inlineStr">
        <is>
          <t>Poori Wala</t>
        </is>
      </c>
      <c r="C60" t="inlineStr">
        <is>
          <t>Deep-fry</t>
        </is>
      </c>
      <c r="D60" s="13" t="n">
        <v>18.59</v>
      </c>
      <c r="E60" s="13">
        <f>VLOOKUP(C60,Assumptions!$A$4:$B$9,2,FALSE)</f>
        <v/>
      </c>
      <c r="F60" s="13" t="n">
        <v>1.5</v>
      </c>
      <c r="G60" s="13">
        <f>D60+E60+F60</f>
        <v/>
      </c>
      <c r="H60" s="14" t="n">
        <v>70</v>
      </c>
      <c r="I60" s="13">
        <f>H60-G60</f>
        <v/>
      </c>
      <c r="J60" s="10">
        <f>IF(H60=0,"",I60/H60)</f>
        <v/>
      </c>
      <c r="K60" t="inlineStr">
        <is>
          <t>Medium</t>
        </is>
      </c>
      <c r="L60" s="13">
        <f>VLOOKUP(K60,Assumptions!$A$12:$B$17,2,FALSE)</f>
        <v/>
      </c>
      <c r="M60" s="13">
        <f>H60-G60-L60</f>
        <v/>
      </c>
      <c r="N60" s="10">
        <f>IF(H60=0,"",M60/H60)</f>
        <v/>
      </c>
      <c r="O60" s="14" t="n">
        <v>88</v>
      </c>
      <c r="P60" s="10">
        <f>Assumptions!$B$19</f>
        <v/>
      </c>
      <c r="Q60" s="13">
        <f>O60*(1-P60)</f>
        <v/>
      </c>
      <c r="R60" s="13">
        <f>Q60-G60</f>
        <v/>
      </c>
      <c r="S60" s="10">
        <f>IF(O60=0,"",R60/O60)</f>
        <v/>
      </c>
    </row>
    <row r="61">
      <c r="A61" t="inlineStr">
        <is>
          <t>Sooji Paani Puri</t>
        </is>
      </c>
      <c r="B61" t="inlineStr">
        <is>
          <t>Poori Wala</t>
        </is>
      </c>
      <c r="C61" t="inlineStr">
        <is>
          <t>Deep-fry</t>
        </is>
      </c>
      <c r="D61" s="13" t="n">
        <v>14.93</v>
      </c>
      <c r="E61" s="13">
        <f>VLOOKUP(C61,Assumptions!$A$4:$B$9,2,FALSE)</f>
        <v/>
      </c>
      <c r="F61" s="13" t="n">
        <v>1.5</v>
      </c>
      <c r="G61" s="13">
        <f>D61+E61+F61</f>
        <v/>
      </c>
      <c r="H61" s="14" t="n">
        <v>50</v>
      </c>
      <c r="I61" s="13">
        <f>H61-G61</f>
        <v/>
      </c>
      <c r="J61" s="10">
        <f>IF(H61=0,"",I61/H61)</f>
        <v/>
      </c>
      <c r="K61" t="inlineStr">
        <is>
          <t>Medium</t>
        </is>
      </c>
      <c r="L61" s="13">
        <f>VLOOKUP(K61,Assumptions!$A$12:$B$17,2,FALSE)</f>
        <v/>
      </c>
      <c r="M61" s="13">
        <f>H61-G61-L61</f>
        <v/>
      </c>
      <c r="N61" s="10">
        <f>IF(H61=0,"",M61/H61)</f>
        <v/>
      </c>
      <c r="O61" s="14" t="n">
        <v>62</v>
      </c>
      <c r="P61" s="10">
        <f>Assumptions!$B$19</f>
        <v/>
      </c>
      <c r="Q61" s="13">
        <f>O61*(1-P61)</f>
        <v/>
      </c>
      <c r="R61" s="13">
        <f>Q61-G61</f>
        <v/>
      </c>
      <c r="S61" s="10">
        <f>IF(O61=0,"",R61/O61)</f>
        <v/>
      </c>
    </row>
    <row r="62">
      <c r="A62" t="inlineStr">
        <is>
          <t>Sooji SPDP</t>
        </is>
      </c>
      <c r="B62" t="inlineStr">
        <is>
          <t>Poori Wala</t>
        </is>
      </c>
      <c r="C62" t="inlineStr">
        <is>
          <t>Assembled</t>
        </is>
      </c>
      <c r="D62" s="13" t="n">
        <v>21.91</v>
      </c>
      <c r="E62" s="13">
        <f>VLOOKUP(C62,Assumptions!$A$4:$B$9,2,FALSE)</f>
        <v/>
      </c>
      <c r="F62" s="13" t="n">
        <v>1.5</v>
      </c>
      <c r="G62" s="13">
        <f>D62+E62+F62</f>
        <v/>
      </c>
      <c r="H62" s="14" t="n">
        <v>80</v>
      </c>
      <c r="I62" s="13">
        <f>H62-G62</f>
        <v/>
      </c>
      <c r="J62" s="10">
        <f>IF(H62=0,"",I62/H62)</f>
        <v/>
      </c>
      <c r="K62" t="inlineStr">
        <is>
          <t>Medium</t>
        </is>
      </c>
      <c r="L62" s="13">
        <f>VLOOKUP(K62,Assumptions!$A$12:$B$17,2,FALSE)</f>
        <v/>
      </c>
      <c r="M62" s="13">
        <f>H62-G62-L62</f>
        <v/>
      </c>
      <c r="N62" s="10">
        <f>IF(H62=0,"",M62/H62)</f>
        <v/>
      </c>
      <c r="O62" s="14" t="n">
        <v>100</v>
      </c>
      <c r="P62" s="10">
        <f>Assumptions!$B$19</f>
        <v/>
      </c>
      <c r="Q62" s="13">
        <f>O62*(1-P62)</f>
        <v/>
      </c>
      <c r="R62" s="13">
        <f>Q62-G62</f>
        <v/>
      </c>
      <c r="S62" s="10">
        <f>IF(O62=0,"",R62/O62)</f>
        <v/>
      </c>
    </row>
    <row r="63">
      <c r="A63" t="inlineStr">
        <is>
          <t>Sooji Sev Poori</t>
        </is>
      </c>
      <c r="B63" t="inlineStr">
        <is>
          <t>Poori Wala</t>
        </is>
      </c>
      <c r="C63" t="inlineStr">
        <is>
          <t>Deep-fry</t>
        </is>
      </c>
      <c r="D63" s="13" t="n">
        <v>21.29</v>
      </c>
      <c r="E63" s="13">
        <f>VLOOKUP(C63,Assumptions!$A$4:$B$9,2,FALSE)</f>
        <v/>
      </c>
      <c r="F63" s="13" t="n">
        <v>1.5</v>
      </c>
      <c r="G63" s="13">
        <f>D63+E63+F63</f>
        <v/>
      </c>
      <c r="H63" s="14" t="n">
        <v>60</v>
      </c>
      <c r="I63" s="13">
        <f>H63-G63</f>
        <v/>
      </c>
      <c r="J63" s="10">
        <f>IF(H63=0,"",I63/H63)</f>
        <v/>
      </c>
      <c r="K63" t="inlineStr">
        <is>
          <t>Medium</t>
        </is>
      </c>
      <c r="L63" s="13">
        <f>VLOOKUP(K63,Assumptions!$A$12:$B$17,2,FALSE)</f>
        <v/>
      </c>
      <c r="M63" s="13">
        <f>H63-G63-L63</f>
        <v/>
      </c>
      <c r="N63" s="10">
        <f>IF(H63=0,"",M63/H63)</f>
        <v/>
      </c>
      <c r="O63" s="14" t="n">
        <v>75</v>
      </c>
      <c r="P63" s="10">
        <f>Assumptions!$B$19</f>
        <v/>
      </c>
      <c r="Q63" s="13">
        <f>O63*(1-P63)</f>
        <v/>
      </c>
      <c r="R63" s="13">
        <f>Q63-G63</f>
        <v/>
      </c>
      <c r="S63" s="10">
        <f>IF(O63=0,"",R63/O63)</f>
        <v/>
      </c>
    </row>
    <row r="64">
      <c r="A64" t="inlineStr">
        <is>
          <t>Chole Chawal</t>
        </is>
      </c>
      <c r="B64" t="inlineStr">
        <is>
          <t>Rice</t>
        </is>
      </c>
      <c r="C64" t="inlineStr">
        <is>
          <t>Simmer</t>
        </is>
      </c>
      <c r="D64" s="13" t="n">
        <v>32.33</v>
      </c>
      <c r="E64" s="13">
        <f>VLOOKUP(C64,Assumptions!$A$4:$B$9,2,FALSE)</f>
        <v/>
      </c>
      <c r="F64" s="13" t="n">
        <v>0.3</v>
      </c>
      <c r="G64" s="13">
        <f>D64+E64+F64</f>
        <v/>
      </c>
      <c r="H64" s="14" t="n">
        <v>149</v>
      </c>
      <c r="I64" s="13">
        <f>H64-G64</f>
        <v/>
      </c>
      <c r="J64" s="10">
        <f>IF(H64=0,"",I64/H64)</f>
        <v/>
      </c>
      <c r="K64" t="inlineStr">
        <is>
          <t>Large</t>
        </is>
      </c>
      <c r="L64" s="13">
        <f>VLOOKUP(K64,Assumptions!$A$12:$B$17,2,FALSE)</f>
        <v/>
      </c>
      <c r="M64" s="13">
        <f>H64-G64-L64</f>
        <v/>
      </c>
      <c r="N64" s="10">
        <f>IF(H64=0,"",M64/H64)</f>
        <v/>
      </c>
      <c r="O64" s="14" t="n">
        <v>186</v>
      </c>
      <c r="P64" s="10">
        <f>Assumptions!$B$19</f>
        <v/>
      </c>
      <c r="Q64" s="13">
        <f>O64*(1-P64)</f>
        <v/>
      </c>
      <c r="R64" s="13">
        <f>Q64-G64</f>
        <v/>
      </c>
      <c r="S64" s="10">
        <f>IF(O64=0,"",R64/O64)</f>
        <v/>
      </c>
    </row>
    <row r="65">
      <c r="A65" t="inlineStr">
        <is>
          <t>Dal Fry Chawal</t>
        </is>
      </c>
      <c r="B65" t="inlineStr">
        <is>
          <t>Rice</t>
        </is>
      </c>
      <c r="C65" t="inlineStr">
        <is>
          <t>Simmer</t>
        </is>
      </c>
      <c r="D65" s="13" t="n">
        <v>34.15</v>
      </c>
      <c r="E65" s="13">
        <f>VLOOKUP(C65,Assumptions!$A$4:$B$9,2,FALSE)</f>
        <v/>
      </c>
      <c r="F65" s="13" t="n">
        <v>0.3</v>
      </c>
      <c r="G65" s="13">
        <f>D65+E65+F65</f>
        <v/>
      </c>
      <c r="H65" s="14" t="n">
        <v>129</v>
      </c>
      <c r="I65" s="13">
        <f>H65-G65</f>
        <v/>
      </c>
      <c r="J65" s="10">
        <f>IF(H65=0,"",I65/H65)</f>
        <v/>
      </c>
      <c r="K65" t="inlineStr">
        <is>
          <t>Large</t>
        </is>
      </c>
      <c r="L65" s="13">
        <f>VLOOKUP(K65,Assumptions!$A$12:$B$17,2,FALSE)</f>
        <v/>
      </c>
      <c r="M65" s="13">
        <f>H65-G65-L65</f>
        <v/>
      </c>
      <c r="N65" s="10">
        <f>IF(H65=0,"",M65/H65)</f>
        <v/>
      </c>
      <c r="O65" s="14" t="n">
        <v>161</v>
      </c>
      <c r="P65" s="10">
        <f>Assumptions!$B$19</f>
        <v/>
      </c>
      <c r="Q65" s="13">
        <f>O65*(1-P65)</f>
        <v/>
      </c>
      <c r="R65" s="13">
        <f>Q65-G65</f>
        <v/>
      </c>
      <c r="S65" s="10">
        <f>IF(O65=0,"",R65/O65)</f>
        <v/>
      </c>
    </row>
    <row r="66">
      <c r="A66" t="inlineStr">
        <is>
          <t>Dal Khichdi</t>
        </is>
      </c>
      <c r="B66" t="inlineStr">
        <is>
          <t>Rice</t>
        </is>
      </c>
      <c r="C66" t="inlineStr">
        <is>
          <t>Simmer</t>
        </is>
      </c>
      <c r="D66" s="13" t="n">
        <v>39.35</v>
      </c>
      <c r="E66" s="13">
        <f>VLOOKUP(C66,Assumptions!$A$4:$B$9,2,FALSE)</f>
        <v/>
      </c>
      <c r="F66" s="13" t="n">
        <v>0.3</v>
      </c>
      <c r="G66" s="13">
        <f>D66+E66+F66</f>
        <v/>
      </c>
      <c r="H66" s="14" t="n">
        <v>129</v>
      </c>
      <c r="I66" s="13">
        <f>H66-G66</f>
        <v/>
      </c>
      <c r="J66" s="10">
        <f>IF(H66=0,"",I66/H66)</f>
        <v/>
      </c>
      <c r="K66" t="inlineStr">
        <is>
          <t>Large</t>
        </is>
      </c>
      <c r="L66" s="13">
        <f>VLOOKUP(K66,Assumptions!$A$12:$B$17,2,FALSE)</f>
        <v/>
      </c>
      <c r="M66" s="13">
        <f>H66-G66-L66</f>
        <v/>
      </c>
      <c r="N66" s="10">
        <f>IF(H66=0,"",M66/H66)</f>
        <v/>
      </c>
      <c r="O66" s="14" t="n">
        <v>161</v>
      </c>
      <c r="P66" s="10">
        <f>Assumptions!$B$19</f>
        <v/>
      </c>
      <c r="Q66" s="13">
        <f>O66*(1-P66)</f>
        <v/>
      </c>
      <c r="R66" s="13">
        <f>Q66-G66</f>
        <v/>
      </c>
      <c r="S66" s="10">
        <f>IF(O66=0,"",R66/O66)</f>
        <v/>
      </c>
    </row>
    <row r="67">
      <c r="A67" t="inlineStr">
        <is>
          <t>Dal Khichdi Tadka</t>
        </is>
      </c>
      <c r="B67" t="inlineStr">
        <is>
          <t>Rice</t>
        </is>
      </c>
      <c r="C67" t="inlineStr">
        <is>
          <t>Simmer</t>
        </is>
      </c>
      <c r="D67" s="13" t="n">
        <v>46.39</v>
      </c>
      <c r="E67" s="13">
        <f>VLOOKUP(C67,Assumptions!$A$4:$B$9,2,FALSE)</f>
        <v/>
      </c>
      <c r="F67" s="13" t="n">
        <v>0.3</v>
      </c>
      <c r="G67" s="13">
        <f>D67+E67+F67</f>
        <v/>
      </c>
      <c r="H67" s="14" t="n">
        <v>149</v>
      </c>
      <c r="I67" s="13">
        <f>H67-G67</f>
        <v/>
      </c>
      <c r="J67" s="10">
        <f>IF(H67=0,"",I67/H67)</f>
        <v/>
      </c>
      <c r="K67" t="inlineStr">
        <is>
          <t>Large</t>
        </is>
      </c>
      <c r="L67" s="13">
        <f>VLOOKUP(K67,Assumptions!$A$12:$B$17,2,FALSE)</f>
        <v/>
      </c>
      <c r="M67" s="13">
        <f>H67-G67-L67</f>
        <v/>
      </c>
      <c r="N67" s="10">
        <f>IF(H67=0,"",M67/H67)</f>
        <v/>
      </c>
      <c r="O67" s="14" t="n">
        <v>186</v>
      </c>
      <c r="P67" s="10">
        <f>Assumptions!$B$19</f>
        <v/>
      </c>
      <c r="Q67" s="13">
        <f>O67*(1-P67)</f>
        <v/>
      </c>
      <c r="R67" s="13">
        <f>Q67-G67</f>
        <v/>
      </c>
      <c r="S67" s="10">
        <f>IF(O67=0,"",R67/O67)</f>
        <v/>
      </c>
    </row>
    <row r="68">
      <c r="A68" t="inlineStr">
        <is>
          <t>Dal Makhni Chawal</t>
        </is>
      </c>
      <c r="B68" t="inlineStr">
        <is>
          <t>Rice</t>
        </is>
      </c>
      <c r="C68" t="inlineStr">
        <is>
          <t>Simmer</t>
        </is>
      </c>
      <c r="D68" s="13" t="n">
        <v>37.3</v>
      </c>
      <c r="E68" s="13">
        <f>VLOOKUP(C68,Assumptions!$A$4:$B$9,2,FALSE)</f>
        <v/>
      </c>
      <c r="F68" s="13" t="n">
        <v>0.3</v>
      </c>
      <c r="G68" s="13">
        <f>D68+E68+F68</f>
        <v/>
      </c>
      <c r="H68" s="14" t="n">
        <v>179</v>
      </c>
      <c r="I68" s="13">
        <f>H68-G68</f>
        <v/>
      </c>
      <c r="J68" s="10">
        <f>IF(H68=0,"",I68/H68)</f>
        <v/>
      </c>
      <c r="K68" t="inlineStr">
        <is>
          <t>Large</t>
        </is>
      </c>
      <c r="L68" s="13">
        <f>VLOOKUP(K68,Assumptions!$A$12:$B$17,2,FALSE)</f>
        <v/>
      </c>
      <c r="M68" s="13">
        <f>H68-G68-L68</f>
        <v/>
      </c>
      <c r="N68" s="10">
        <f>IF(H68=0,"",M68/H68)</f>
        <v/>
      </c>
      <c r="O68" s="14" t="n">
        <v>224</v>
      </c>
      <c r="P68" s="10">
        <f>Assumptions!$B$19</f>
        <v/>
      </c>
      <c r="Q68" s="13">
        <f>O68*(1-P68)</f>
        <v/>
      </c>
      <c r="R68" s="13">
        <f>Q68-G68</f>
        <v/>
      </c>
      <c r="S68" s="10">
        <f>IF(O68=0,"",R68/O68)</f>
        <v/>
      </c>
    </row>
    <row r="69">
      <c r="A69" t="inlineStr">
        <is>
          <t>Dal Tadka Chawal</t>
        </is>
      </c>
      <c r="B69" t="inlineStr">
        <is>
          <t>Rice</t>
        </is>
      </c>
      <c r="C69" t="inlineStr">
        <is>
          <t>Simmer</t>
        </is>
      </c>
      <c r="D69" s="13" t="n">
        <v>41.19</v>
      </c>
      <c r="E69" s="13">
        <f>VLOOKUP(C69,Assumptions!$A$4:$B$9,2,FALSE)</f>
        <v/>
      </c>
      <c r="F69" s="13" t="n">
        <v>0.3</v>
      </c>
      <c r="G69" s="13">
        <f>D69+E69+F69</f>
        <v/>
      </c>
      <c r="H69" s="14" t="n">
        <v>149</v>
      </c>
      <c r="I69" s="13">
        <f>H69-G69</f>
        <v/>
      </c>
      <c r="J69" s="10">
        <f>IF(H69=0,"",I69/H69)</f>
        <v/>
      </c>
      <c r="K69" t="inlineStr">
        <is>
          <t>Large</t>
        </is>
      </c>
      <c r="L69" s="13">
        <f>VLOOKUP(K69,Assumptions!$A$12:$B$17,2,FALSE)</f>
        <v/>
      </c>
      <c r="M69" s="13">
        <f>H69-G69-L69</f>
        <v/>
      </c>
      <c r="N69" s="10">
        <f>IF(H69=0,"",M69/H69)</f>
        <v/>
      </c>
      <c r="O69" s="14" t="n">
        <v>186</v>
      </c>
      <c r="P69" s="10">
        <f>Assumptions!$B$19</f>
        <v/>
      </c>
      <c r="Q69" s="13">
        <f>O69*(1-P69)</f>
        <v/>
      </c>
      <c r="R69" s="13">
        <f>Q69-G69</f>
        <v/>
      </c>
      <c r="S69" s="10">
        <f>IF(O69=0,"",R69/O69)</f>
        <v/>
      </c>
    </row>
    <row r="70">
      <c r="A70" t="inlineStr">
        <is>
          <t>Kadhi Chawal</t>
        </is>
      </c>
      <c r="B70" t="inlineStr">
        <is>
          <t>Rice</t>
        </is>
      </c>
      <c r="C70" t="inlineStr">
        <is>
          <t>Simmer</t>
        </is>
      </c>
      <c r="D70" s="13" t="n">
        <v>22.26</v>
      </c>
      <c r="E70" s="13">
        <f>VLOOKUP(C70,Assumptions!$A$4:$B$9,2,FALSE)</f>
        <v/>
      </c>
      <c r="F70" s="13" t="n">
        <v>0.3</v>
      </c>
      <c r="G70" s="13">
        <f>D70+E70+F70</f>
        <v/>
      </c>
      <c r="H70" s="14" t="n">
        <v>129</v>
      </c>
      <c r="I70" s="13">
        <f>H70-G70</f>
        <v/>
      </c>
      <c r="J70" s="10">
        <f>IF(H70=0,"",I70/H70)</f>
        <v/>
      </c>
      <c r="K70" t="inlineStr">
        <is>
          <t>Large</t>
        </is>
      </c>
      <c r="L70" s="13">
        <f>VLOOKUP(K70,Assumptions!$A$12:$B$17,2,FALSE)</f>
        <v/>
      </c>
      <c r="M70" s="13">
        <f>H70-G70-L70</f>
        <v/>
      </c>
      <c r="N70" s="10">
        <f>IF(H70=0,"",M70/H70)</f>
        <v/>
      </c>
      <c r="O70" s="14" t="n">
        <v>161</v>
      </c>
      <c r="P70" s="10">
        <f>Assumptions!$B$19</f>
        <v/>
      </c>
      <c r="Q70" s="13">
        <f>O70*(1-P70)</f>
        <v/>
      </c>
      <c r="R70" s="13">
        <f>Q70-G70</f>
        <v/>
      </c>
      <c r="S70" s="10">
        <f>IF(O70=0,"",R70/O70)</f>
        <v/>
      </c>
    </row>
    <row r="71">
      <c r="A71" t="inlineStr">
        <is>
          <t>Plain Rice</t>
        </is>
      </c>
      <c r="B71" t="inlineStr">
        <is>
          <t>Rice</t>
        </is>
      </c>
      <c r="C71" t="inlineStr">
        <is>
          <t>Simmer</t>
        </is>
      </c>
      <c r="D71" s="13" t="n">
        <v>16.5</v>
      </c>
      <c r="E71" s="13">
        <f>VLOOKUP(C71,Assumptions!$A$4:$B$9,2,FALSE)</f>
        <v/>
      </c>
      <c r="F71" s="13" t="n">
        <v>0.3</v>
      </c>
      <c r="G71" s="13">
        <f>D71+E71+F71</f>
        <v/>
      </c>
      <c r="H71" s="14" t="n">
        <v>79</v>
      </c>
      <c r="I71" s="13">
        <f>H71-G71</f>
        <v/>
      </c>
      <c r="J71" s="10">
        <f>IF(H71=0,"",I71/H71)</f>
        <v/>
      </c>
      <c r="K71" t="inlineStr">
        <is>
          <t>Large</t>
        </is>
      </c>
      <c r="L71" s="13">
        <f>VLOOKUP(K71,Assumptions!$A$12:$B$17,2,FALSE)</f>
        <v/>
      </c>
      <c r="M71" s="13">
        <f>H71-G71-L71</f>
        <v/>
      </c>
      <c r="N71" s="10">
        <f>IF(H71=0,"",M71/H71)</f>
        <v/>
      </c>
      <c r="O71" s="14" t="n">
        <v>99</v>
      </c>
      <c r="P71" s="10">
        <f>Assumptions!$B$19</f>
        <v/>
      </c>
      <c r="Q71" s="13">
        <f>O71*(1-P71)</f>
        <v/>
      </c>
      <c r="R71" s="13">
        <f>Q71-G71</f>
        <v/>
      </c>
      <c r="S71" s="10">
        <f>IF(O71=0,"",R71/O71)</f>
        <v/>
      </c>
    </row>
    <row r="72">
      <c r="A72" t="inlineStr">
        <is>
          <t>Rajma Chawal</t>
        </is>
      </c>
      <c r="B72" t="inlineStr">
        <is>
          <t>Rice</t>
        </is>
      </c>
      <c r="C72" t="inlineStr">
        <is>
          <t>Simmer</t>
        </is>
      </c>
      <c r="D72" s="13" t="n">
        <v>41.12</v>
      </c>
      <c r="E72" s="13">
        <f>VLOOKUP(C72,Assumptions!$A$4:$B$9,2,FALSE)</f>
        <v/>
      </c>
      <c r="F72" s="13" t="n">
        <v>0.3</v>
      </c>
      <c r="G72" s="13">
        <f>D72+E72+F72</f>
        <v/>
      </c>
      <c r="H72" s="14" t="n">
        <v>149</v>
      </c>
      <c r="I72" s="13">
        <f>H72-G72</f>
        <v/>
      </c>
      <c r="J72" s="10">
        <f>IF(H72=0,"",I72/H72)</f>
        <v/>
      </c>
      <c r="K72" t="inlineStr">
        <is>
          <t>Large</t>
        </is>
      </c>
      <c r="L72" s="13">
        <f>VLOOKUP(K72,Assumptions!$A$12:$B$17,2,FALSE)</f>
        <v/>
      </c>
      <c r="M72" s="13">
        <f>H72-G72-L72</f>
        <v/>
      </c>
      <c r="N72" s="10">
        <f>IF(H72=0,"",M72/H72)</f>
        <v/>
      </c>
      <c r="O72" s="14" t="n">
        <v>186</v>
      </c>
      <c r="P72" s="10">
        <f>Assumptions!$B$19</f>
        <v/>
      </c>
      <c r="Q72" s="13">
        <f>O72*(1-P72)</f>
        <v/>
      </c>
      <c r="R72" s="13">
        <f>Q72-G72</f>
        <v/>
      </c>
      <c r="S72" s="10">
        <f>IF(O72=0,"",R72/O72)</f>
        <v/>
      </c>
    </row>
    <row r="73">
      <c r="A73" t="inlineStr">
        <is>
          <t>Butter Roti</t>
        </is>
      </c>
      <c r="B73" t="inlineStr">
        <is>
          <t>Roti</t>
        </is>
      </c>
      <c r="C73" t="inlineStr">
        <is>
          <t>Tawa</t>
        </is>
      </c>
      <c r="D73" s="13" t="n">
        <v>4.39</v>
      </c>
      <c r="E73" s="13">
        <f>VLOOKUP(C73,Assumptions!$A$4:$B$9,2,FALSE)</f>
        <v/>
      </c>
      <c r="F73" s="13" t="n">
        <v>0.3</v>
      </c>
      <c r="G73" s="13">
        <f>D73+E73+F73</f>
        <v/>
      </c>
      <c r="H73" s="14" t="n">
        <v>25</v>
      </c>
      <c r="I73" s="13">
        <f>H73-G73</f>
        <v/>
      </c>
      <c r="J73" s="10">
        <f>IF(H73=0,"",I73/H73)</f>
        <v/>
      </c>
      <c r="K73" t="inlineStr">
        <is>
          <t>Small</t>
        </is>
      </c>
      <c r="L73" s="13">
        <f>VLOOKUP(K73,Assumptions!$A$12:$B$17,2,FALSE)</f>
        <v/>
      </c>
      <c r="M73" s="13">
        <f>H73-G73-L73</f>
        <v/>
      </c>
      <c r="N73" s="10">
        <f>IF(H73=0,"",M73/H73)</f>
        <v/>
      </c>
      <c r="O73" s="14" t="n">
        <v>31</v>
      </c>
      <c r="P73" s="10">
        <f>Assumptions!$B$19</f>
        <v/>
      </c>
      <c r="Q73" s="13">
        <f>O73*(1-P73)</f>
        <v/>
      </c>
      <c r="R73" s="13">
        <f>Q73-G73</f>
        <v/>
      </c>
      <c r="S73" s="10">
        <f>IF(O73=0,"",R73/O73)</f>
        <v/>
      </c>
    </row>
    <row r="74">
      <c r="A74" t="inlineStr">
        <is>
          <t>Plain Roti</t>
        </is>
      </c>
      <c r="B74" t="inlineStr">
        <is>
          <t>Roti</t>
        </is>
      </c>
      <c r="C74" t="inlineStr">
        <is>
          <t>Tawa</t>
        </is>
      </c>
      <c r="D74" s="13" t="n">
        <v>1.69</v>
      </c>
      <c r="E74" s="13">
        <f>VLOOKUP(C74,Assumptions!$A$4:$B$9,2,FALSE)</f>
        <v/>
      </c>
      <c r="F74" s="13" t="n">
        <v>0.3</v>
      </c>
      <c r="G74" s="13">
        <f>D74+E74+F74</f>
        <v/>
      </c>
      <c r="H74" s="14" t="n">
        <v>18</v>
      </c>
      <c r="I74" s="13">
        <f>H74-G74</f>
        <v/>
      </c>
      <c r="J74" s="10">
        <f>IF(H74=0,"",I74/H74)</f>
        <v/>
      </c>
      <c r="K74" t="inlineStr">
        <is>
          <t>Small</t>
        </is>
      </c>
      <c r="L74" s="13">
        <f>VLOOKUP(K74,Assumptions!$A$12:$B$17,2,FALSE)</f>
        <v/>
      </c>
      <c r="M74" s="13">
        <f>H74-G74-L74</f>
        <v/>
      </c>
      <c r="N74" s="10">
        <f>IF(H74=0,"",M74/H74)</f>
        <v/>
      </c>
      <c r="O74" s="14" t="n">
        <v>22</v>
      </c>
      <c r="P74" s="10">
        <f>Assumptions!$B$19</f>
        <v/>
      </c>
      <c r="Q74" s="13">
        <f>O74*(1-P74)</f>
        <v/>
      </c>
      <c r="R74" s="13">
        <f>Q74-G74</f>
        <v/>
      </c>
      <c r="S74" s="10">
        <f>IF(O74=0,"",R74/O74)</f>
        <v/>
      </c>
    </row>
    <row r="75">
      <c r="A75" t="inlineStr">
        <is>
          <t>Aloo Pyaz Sabji Samosa</t>
        </is>
      </c>
      <c r="B75" t="inlineStr">
        <is>
          <t>Samosa Wala</t>
        </is>
      </c>
      <c r="C75" t="inlineStr">
        <is>
          <t>Deep-fry</t>
        </is>
      </c>
      <c r="D75" s="13" t="n">
        <v>6.01</v>
      </c>
      <c r="E75" s="13">
        <f>VLOOKUP(C75,Assumptions!$A$4:$B$9,2,FALSE)</f>
        <v/>
      </c>
      <c r="F75" s="13" t="n">
        <v>1</v>
      </c>
      <c r="G75" s="13">
        <f>D75+E75+F75</f>
        <v/>
      </c>
      <c r="H75" s="14" t="n">
        <v>40</v>
      </c>
      <c r="I75" s="13">
        <f>H75-G75</f>
        <v/>
      </c>
      <c r="J75" s="10">
        <f>IF(H75=0,"",I75/H75)</f>
        <v/>
      </c>
      <c r="K75" t="inlineStr">
        <is>
          <t>Small</t>
        </is>
      </c>
      <c r="L75" s="13">
        <f>VLOOKUP(K75,Assumptions!$A$12:$B$17,2,FALSE)</f>
        <v/>
      </c>
      <c r="M75" s="13">
        <f>H75-G75-L75</f>
        <v/>
      </c>
      <c r="N75" s="10">
        <f>IF(H75=0,"",M75/H75)</f>
        <v/>
      </c>
      <c r="O75" s="14" t="n">
        <v>50</v>
      </c>
      <c r="P75" s="10">
        <f>Assumptions!$B$19</f>
        <v/>
      </c>
      <c r="Q75" s="13">
        <f>O75*(1-P75)</f>
        <v/>
      </c>
      <c r="R75" s="13">
        <f>Q75-G75</f>
        <v/>
      </c>
      <c r="S75" s="10">
        <f>IF(O75=0,"",R75/O75)</f>
        <v/>
      </c>
    </row>
    <row r="76">
      <c r="A76" t="inlineStr">
        <is>
          <t>Aloo Pyaz Samosa</t>
        </is>
      </c>
      <c r="B76" t="inlineStr">
        <is>
          <t>Samosa Wala</t>
        </is>
      </c>
      <c r="C76" t="inlineStr">
        <is>
          <t>Deep-fry</t>
        </is>
      </c>
      <c r="D76" s="13" t="n">
        <v>5.37</v>
      </c>
      <c r="E76" s="13">
        <f>VLOOKUP(C76,Assumptions!$A$4:$B$9,2,FALSE)</f>
        <v/>
      </c>
      <c r="F76" s="13" t="n">
        <v>1</v>
      </c>
      <c r="G76" s="13">
        <f>D76+E76+F76</f>
        <v/>
      </c>
      <c r="H76" s="14" t="n">
        <v>30</v>
      </c>
      <c r="I76" s="13">
        <f>H76-G76</f>
        <v/>
      </c>
      <c r="J76" s="10">
        <f>IF(H76=0,"",I76/H76)</f>
        <v/>
      </c>
      <c r="K76" t="inlineStr">
        <is>
          <t>Small</t>
        </is>
      </c>
      <c r="L76" s="13">
        <f>VLOOKUP(K76,Assumptions!$A$12:$B$17,2,FALSE)</f>
        <v/>
      </c>
      <c r="M76" s="13">
        <f>H76-G76-L76</f>
        <v/>
      </c>
      <c r="N76" s="10">
        <f>IF(H76=0,"",M76/H76)</f>
        <v/>
      </c>
      <c r="O76" s="14" t="n">
        <v>38</v>
      </c>
      <c r="P76" s="10">
        <f>Assumptions!$B$19</f>
        <v/>
      </c>
      <c r="Q76" s="13">
        <f>O76*(1-P76)</f>
        <v/>
      </c>
      <c r="R76" s="13">
        <f>Q76-G76</f>
        <v/>
      </c>
      <c r="S76" s="10">
        <f>IF(O76=0,"",R76/O76)</f>
        <v/>
      </c>
    </row>
    <row r="77">
      <c r="A77" t="inlineStr">
        <is>
          <t>Aloo Samosa</t>
        </is>
      </c>
      <c r="B77" t="inlineStr">
        <is>
          <t>Samosa Wala</t>
        </is>
      </c>
      <c r="C77" t="inlineStr">
        <is>
          <t>Deep-fry</t>
        </is>
      </c>
      <c r="D77" s="13" t="n">
        <v>5.37</v>
      </c>
      <c r="E77" s="13">
        <f>VLOOKUP(C77,Assumptions!$A$4:$B$9,2,FALSE)</f>
        <v/>
      </c>
      <c r="F77" s="13" t="n">
        <v>1</v>
      </c>
      <c r="G77" s="13">
        <f>D77+E77+F77</f>
        <v/>
      </c>
      <c r="H77" s="14" t="n">
        <v>25</v>
      </c>
      <c r="I77" s="13">
        <f>H77-G77</f>
        <v/>
      </c>
      <c r="J77" s="10">
        <f>IF(H77=0,"",I77/H77)</f>
        <v/>
      </c>
      <c r="K77" t="inlineStr">
        <is>
          <t>Small</t>
        </is>
      </c>
      <c r="L77" s="13">
        <f>VLOOKUP(K77,Assumptions!$A$12:$B$17,2,FALSE)</f>
        <v/>
      </c>
      <c r="M77" s="13">
        <f>H77-G77-L77</f>
        <v/>
      </c>
      <c r="N77" s="10">
        <f>IF(H77=0,"",M77/H77)</f>
        <v/>
      </c>
      <c r="O77" s="14" t="n">
        <v>31</v>
      </c>
      <c r="P77" s="10">
        <f>Assumptions!$B$19</f>
        <v/>
      </c>
      <c r="Q77" s="13">
        <f>O77*(1-P77)</f>
        <v/>
      </c>
      <c r="R77" s="13">
        <f>Q77-G77</f>
        <v/>
      </c>
      <c r="S77" s="10">
        <f>IF(O77=0,"",R77/O77)</f>
        <v/>
      </c>
    </row>
    <row r="78">
      <c r="A78" t="inlineStr">
        <is>
          <t>Sabji Samosa</t>
        </is>
      </c>
      <c r="B78" t="inlineStr">
        <is>
          <t>Samosa Wala</t>
        </is>
      </c>
      <c r="C78" t="inlineStr">
        <is>
          <t>Deep-fry</t>
        </is>
      </c>
      <c r="D78" s="13" t="n">
        <v>6.01</v>
      </c>
      <c r="E78" s="13">
        <f>VLOOKUP(C78,Assumptions!$A$4:$B$9,2,FALSE)</f>
        <v/>
      </c>
      <c r="F78" s="13" t="n">
        <v>1</v>
      </c>
      <c r="G78" s="13">
        <f>D78+E78+F78</f>
        <v/>
      </c>
      <c r="H78" s="14" t="n">
        <v>35</v>
      </c>
      <c r="I78" s="13">
        <f>H78-G78</f>
        <v/>
      </c>
      <c r="J78" s="10">
        <f>IF(H78=0,"",I78/H78)</f>
        <v/>
      </c>
      <c r="K78" t="inlineStr">
        <is>
          <t>Small</t>
        </is>
      </c>
      <c r="L78" s="13">
        <f>VLOOKUP(K78,Assumptions!$A$12:$B$17,2,FALSE)</f>
        <v/>
      </c>
      <c r="M78" s="13">
        <f>H78-G78-L78</f>
        <v/>
      </c>
      <c r="N78" s="10">
        <f>IF(H78=0,"",M78/H78)</f>
        <v/>
      </c>
      <c r="O78" s="14" t="n">
        <v>44</v>
      </c>
      <c r="P78" s="10">
        <f>Assumptions!$B$19</f>
        <v/>
      </c>
      <c r="Q78" s="13">
        <f>O78*(1-P78)</f>
        <v/>
      </c>
      <c r="R78" s="13">
        <f>Q78-G78</f>
        <v/>
      </c>
      <c r="S78" s="10">
        <f>IF(O78=0,"",R78/O78)</f>
        <v/>
      </c>
    </row>
    <row r="79">
      <c r="A79" t="inlineStr">
        <is>
          <t>Bread Pakoda</t>
        </is>
      </c>
      <c r="B79" t="inlineStr">
        <is>
          <t>Snacks</t>
        </is>
      </c>
      <c r="C79" t="inlineStr">
        <is>
          <t>Deep-fry</t>
        </is>
      </c>
      <c r="D79" s="13" t="n">
        <v>16.07</v>
      </c>
      <c r="E79" s="13">
        <f>VLOOKUP(C79,Assumptions!$A$4:$B$9,2,FALSE)</f>
        <v/>
      </c>
      <c r="F79" s="13" t="n">
        <v>1</v>
      </c>
      <c r="G79" s="13">
        <f>D79+E79+F79</f>
        <v/>
      </c>
      <c r="H79" s="14" t="n">
        <v>35</v>
      </c>
      <c r="I79" s="13">
        <f>H79-G79</f>
        <v/>
      </c>
      <c r="J79" s="10">
        <f>IF(H79=0,"",I79/H79)</f>
        <v/>
      </c>
      <c r="K79" t="inlineStr">
        <is>
          <t>Small</t>
        </is>
      </c>
      <c r="L79" s="13">
        <f>VLOOKUP(K79,Assumptions!$A$12:$B$17,2,FALSE)</f>
        <v/>
      </c>
      <c r="M79" s="13">
        <f>H79-G79-L79</f>
        <v/>
      </c>
      <c r="N79" s="10">
        <f>IF(H79=0,"",M79/H79)</f>
        <v/>
      </c>
      <c r="O79" s="14" t="n">
        <v>44</v>
      </c>
      <c r="P79" s="10">
        <f>Assumptions!$B$19</f>
        <v/>
      </c>
      <c r="Q79" s="13">
        <f>O79*(1-P79)</f>
        <v/>
      </c>
      <c r="R79" s="13">
        <f>Q79-G79</f>
        <v/>
      </c>
      <c r="S79" s="10">
        <f>IF(O79=0,"",R79/O79)</f>
        <v/>
      </c>
    </row>
    <row r="80">
      <c r="A80" t="inlineStr">
        <is>
          <t>Khaman Dhokla (100g)</t>
        </is>
      </c>
      <c r="B80" t="inlineStr">
        <is>
          <t>Snacks</t>
        </is>
      </c>
      <c r="C80" t="inlineStr">
        <is>
          <t>Assembled</t>
        </is>
      </c>
      <c r="D80" s="13" t="n">
        <v>2</v>
      </c>
      <c r="E80" s="13">
        <f>VLOOKUP(C80,Assumptions!$A$4:$B$9,2,FALSE)</f>
        <v/>
      </c>
      <c r="F80" s="13" t="n">
        <v>1</v>
      </c>
      <c r="G80" s="13">
        <f>D80+E80+F80</f>
        <v/>
      </c>
      <c r="H80" s="14" t="n">
        <v>40</v>
      </c>
      <c r="I80" s="13">
        <f>H80-G80</f>
        <v/>
      </c>
      <c r="J80" s="10">
        <f>IF(H80=0,"",I80/H80)</f>
        <v/>
      </c>
      <c r="K80" t="inlineStr">
        <is>
          <t>Small</t>
        </is>
      </c>
      <c r="L80" s="13">
        <f>VLOOKUP(K80,Assumptions!$A$12:$B$17,2,FALSE)</f>
        <v/>
      </c>
      <c r="M80" s="13">
        <f>H80-G80-L80</f>
        <v/>
      </c>
      <c r="N80" s="10">
        <f>IF(H80=0,"",M80/H80)</f>
        <v/>
      </c>
      <c r="O80" s="14" t="n">
        <v>50</v>
      </c>
      <c r="P80" s="10">
        <f>Assumptions!$B$19</f>
        <v/>
      </c>
      <c r="Q80" s="13">
        <f>O80*(1-P80)</f>
        <v/>
      </c>
      <c r="R80" s="13">
        <f>Q80-G80</f>
        <v/>
      </c>
      <c r="S80" s="10">
        <f>IF(O80=0,"",R80/O80)</f>
        <v/>
      </c>
    </row>
  </sheetData>
  <conditionalFormatting sqref="J2:J80">
    <cfRule type="cellIs" priority="1" operator="lessThan" dxfId="0">
      <formula>0.3</formula>
    </cfRule>
    <cfRule type="cellIs" priority="2" operator="greaterThanOrEqual" dxfId="1">
      <formula>0.6</formula>
    </cfRule>
  </conditionalFormatting>
  <conditionalFormatting sqref="N2:N80">
    <cfRule type="cellIs" priority="3" operator="lessThan" dxfId="0">
      <formula>0.3</formula>
    </cfRule>
    <cfRule type="cellIs" priority="4" operator="greaterThanOrEqual" dxfId="1">
      <formula>0.6</formula>
    </cfRule>
  </conditionalFormatting>
  <conditionalFormatting sqref="S2:S80">
    <cfRule type="cellIs" priority="5" operator="lessThan" dxfId="0">
      <formula>0.3</formula>
    </cfRule>
    <cfRule type="cellIs" priority="6" operator="greaterThanOrEqual" dxfId="1">
      <formula>0.6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1" customWidth="1" min="3" max="3"/>
    <col width="11" customWidth="1" min="4" max="4"/>
    <col width="10" customWidth="1" min="5" max="5"/>
    <col width="12" customWidth="1" min="6" max="6"/>
    <col width="12" customWidth="1" min="7" max="7"/>
    <col width="9" customWidth="1" min="8" max="8"/>
    <col width="11" customWidth="1" min="9" max="9"/>
    <col width="9" customWidth="1" min="10" max="10"/>
    <col width="10" customWidth="1" min="11" max="11"/>
    <col width="12" customWidth="1" min="12" max="12"/>
    <col width="9" customWidth="1" min="13" max="13"/>
    <col width="10" customWidth="1" min="14" max="14"/>
    <col width="12" customWidth="1" min="15" max="15"/>
    <col width="9" customWidth="1" min="16" max="16"/>
    <col width="13" customWidth="1" min="17" max="17"/>
    <col width="10" customWidth="1" min="18" max="18"/>
    <col width="11" customWidth="1" min="19" max="19"/>
    <col width="10" customWidth="1" min="20" max="20"/>
    <col width="13" customWidth="1" min="21" max="21"/>
    <col width="13" customWidth="1" min="22" max="22"/>
    <col width="13" customWidth="1" min="23" max="23"/>
    <col width="10" customWidth="1" min="24" max="24"/>
    <col width="50" customWidth="1" min="25" max="25"/>
  </cols>
  <sheetData>
    <row r="1">
      <c r="A1" s="41" t="inlineStr">
        <is>
          <t>Item</t>
        </is>
      </c>
      <c r="B1" s="41" t="inlineStr">
        <is>
          <t>Category</t>
        </is>
      </c>
      <c r="C1" s="41" t="inlineStr">
        <is>
          <t>Cook</t>
        </is>
      </c>
      <c r="D1" s="41" t="inlineStr">
        <is>
          <t>Recipe cost</t>
        </is>
      </c>
      <c r="E1" s="41" t="inlineStr">
        <is>
          <t>Dine price</t>
        </is>
      </c>
      <c r="F1" s="41" t="inlineStr">
        <is>
          <t>Dine net of GST</t>
        </is>
      </c>
      <c r="G1" s="41" t="inlineStr">
        <is>
          <t>Dine contribution</t>
        </is>
      </c>
      <c r="H1" s="41" t="inlineStr">
        <is>
          <t>Dine CM %</t>
        </is>
      </c>
      <c r="I1" s="41" t="inlineStr">
        <is>
          <t>Online price</t>
        </is>
      </c>
      <c r="J1" s="41" t="inlineStr">
        <is>
          <t>Markup %</t>
        </is>
      </c>
      <c r="K1" s="41" t="inlineStr">
        <is>
          <t>Zomato net</t>
        </is>
      </c>
      <c r="L1" s="41" t="inlineStr">
        <is>
          <t>Zomato contribution</t>
        </is>
      </c>
      <c r="M1" s="41" t="inlineStr">
        <is>
          <t>Zomato CM %</t>
        </is>
      </c>
      <c r="N1" s="41" t="inlineStr">
        <is>
          <t>Swiggy net</t>
        </is>
      </c>
      <c r="O1" s="41" t="inlineStr">
        <is>
          <t>Swiggy contribution</t>
        </is>
      </c>
      <c r="P1" s="41" t="inlineStr">
        <is>
          <t>Swiggy CM %</t>
        </is>
      </c>
      <c r="Q1" s="41" t="inlineStr">
        <is>
          <t>Online contribution blended</t>
        </is>
      </c>
      <c r="R1" s="41" t="inlineStr">
        <is>
          <t>Dine qty 90d</t>
        </is>
      </c>
      <c r="S1" s="41" t="inlineStr">
        <is>
          <t>Online qty 90d</t>
        </is>
      </c>
      <c r="T1" s="41" t="inlineStr">
        <is>
          <t>Total qty</t>
        </is>
      </c>
      <c r="U1" s="41" t="inlineStr">
        <is>
          <t>Dine contribution 90d</t>
        </is>
      </c>
      <c r="V1" s="41" t="inlineStr">
        <is>
          <t>Online contribution 90d</t>
        </is>
      </c>
      <c r="W1" s="41" t="inlineStr">
        <is>
          <t>Total contribution 90d</t>
        </is>
      </c>
      <c r="X1" s="41" t="inlineStr">
        <is>
          <t>Price rescaled</t>
        </is>
      </c>
      <c r="Y1" s="41" t="inlineStr">
        <is>
          <t>Check</t>
        </is>
      </c>
    </row>
    <row r="2">
      <c r="A2" t="inlineStr">
        <is>
          <t>Aloo Samosa</t>
        </is>
      </c>
      <c r="B2" t="inlineStr">
        <is>
          <t>Samosa Wala</t>
        </is>
      </c>
      <c r="C2" t="inlineStr">
        <is>
          <t>Deep-fry</t>
        </is>
      </c>
      <c r="D2" t="n">
        <v>5.37</v>
      </c>
      <c r="E2" t="n">
        <v>25</v>
      </c>
      <c r="F2" t="n">
        <v>23.81</v>
      </c>
      <c r="G2" t="n">
        <v>18.44</v>
      </c>
      <c r="H2" t="n">
        <v>77.40000000000001</v>
      </c>
      <c r="I2" t="n">
        <v>35</v>
      </c>
      <c r="J2" t="n">
        <v>40</v>
      </c>
      <c r="K2" t="n">
        <v>18.13</v>
      </c>
      <c r="L2" t="n">
        <v>12.76</v>
      </c>
      <c r="M2" t="n">
        <v>36.4</v>
      </c>
      <c r="N2" t="n">
        <v>20.76</v>
      </c>
      <c r="O2" t="n">
        <v>15.39</v>
      </c>
      <c r="P2" t="n">
        <v>44</v>
      </c>
      <c r="Q2" t="n">
        <v>13.36</v>
      </c>
      <c r="R2" t="n">
        <v>3651</v>
      </c>
      <c r="S2" t="n">
        <v>2334</v>
      </c>
      <c r="T2" t="n">
        <v>5985</v>
      </c>
      <c r="U2" t="n">
        <v>67324</v>
      </c>
      <c r="V2" t="n">
        <v>31194</v>
      </c>
      <c r="W2" t="n">
        <v>98518</v>
      </c>
      <c r="X2" t="inlineStr"/>
      <c r="Y2" t="inlineStr"/>
    </row>
    <row r="3">
      <c r="A3" t="inlineStr">
        <is>
          <t>Chole Bhature [2 Bhature]</t>
        </is>
      </c>
      <c r="B3" t="inlineStr">
        <is>
          <t>Chole Wala</t>
        </is>
      </c>
      <c r="C3" t="inlineStr">
        <is>
          <t>Simmer</t>
        </is>
      </c>
      <c r="D3" t="n">
        <v>33.23</v>
      </c>
      <c r="E3" t="n">
        <v>150</v>
      </c>
      <c r="F3" t="n">
        <v>142.86</v>
      </c>
      <c r="G3" t="n">
        <v>109.63</v>
      </c>
      <c r="H3" t="n">
        <v>76.7</v>
      </c>
      <c r="I3" t="n">
        <v>189</v>
      </c>
      <c r="J3" t="n">
        <v>26</v>
      </c>
      <c r="K3" t="n">
        <v>97.88</v>
      </c>
      <c r="L3" t="n">
        <v>64.65000000000001</v>
      </c>
      <c r="M3" t="n">
        <v>34.2</v>
      </c>
      <c r="N3" t="n">
        <v>112.11</v>
      </c>
      <c r="O3" t="n">
        <v>78.88</v>
      </c>
      <c r="P3" t="n">
        <v>41.7</v>
      </c>
      <c r="Q3" t="n">
        <v>67.92</v>
      </c>
      <c r="R3" t="n">
        <v>445</v>
      </c>
      <c r="S3" t="n">
        <v>632</v>
      </c>
      <c r="T3" t="n">
        <v>1077</v>
      </c>
      <c r="U3" t="n">
        <v>48785</v>
      </c>
      <c r="V3" t="n">
        <v>42927</v>
      </c>
      <c r="W3" t="n">
        <v>91712</v>
      </c>
      <c r="X3" t="inlineStr"/>
      <c r="Y3" t="inlineStr"/>
    </row>
    <row r="4">
      <c r="A4" t="inlineStr">
        <is>
          <t>Bhalla (chole Tikki)</t>
        </is>
      </c>
      <c r="B4" t="inlineStr">
        <is>
          <t>Chaat Wala</t>
        </is>
      </c>
      <c r="C4" t="inlineStr">
        <is>
          <t>Deep-fry</t>
        </is>
      </c>
      <c r="D4" t="n">
        <v>21.31</v>
      </c>
      <c r="E4" t="n">
        <v>85</v>
      </c>
      <c r="F4" t="n">
        <v>80.95</v>
      </c>
      <c r="G4" t="n">
        <v>59.64</v>
      </c>
      <c r="H4" t="n">
        <v>73.7</v>
      </c>
      <c r="I4" t="n">
        <v>119</v>
      </c>
      <c r="J4" t="n">
        <v>40</v>
      </c>
      <c r="K4" t="n">
        <v>61.63</v>
      </c>
      <c r="L4" t="n">
        <v>40.32</v>
      </c>
      <c r="M4" t="n">
        <v>33.9</v>
      </c>
      <c r="N4" t="n">
        <v>70.59</v>
      </c>
      <c r="O4" t="n">
        <v>49.28</v>
      </c>
      <c r="P4" t="n">
        <v>41.4</v>
      </c>
      <c r="Q4" t="n">
        <v>42.38</v>
      </c>
      <c r="R4" t="n">
        <v>762</v>
      </c>
      <c r="S4" t="n">
        <v>131</v>
      </c>
      <c r="T4" t="n">
        <v>893</v>
      </c>
      <c r="U4" t="n">
        <v>45446</v>
      </c>
      <c r="V4" t="n">
        <v>5552</v>
      </c>
      <c r="W4" t="n">
        <v>50998</v>
      </c>
      <c r="X4" t="inlineStr"/>
      <c r="Y4" t="inlineStr"/>
    </row>
    <row r="5">
      <c r="A5" t="inlineStr">
        <is>
          <t>Mathura Ki Special Kachori Sabji</t>
        </is>
      </c>
      <c r="B5" t="inlineStr">
        <is>
          <t>Kachori Wala</t>
        </is>
      </c>
      <c r="C5" t="inlineStr">
        <is>
          <t>Deep-fry</t>
        </is>
      </c>
      <c r="D5" t="n">
        <v>9.27</v>
      </c>
      <c r="E5" t="n">
        <v>32.5</v>
      </c>
      <c r="F5" t="n">
        <v>30.95</v>
      </c>
      <c r="G5" t="n">
        <v>21.68</v>
      </c>
      <c r="H5" t="n">
        <v>70.09999999999999</v>
      </c>
      <c r="I5" t="n">
        <v>54</v>
      </c>
      <c r="J5" t="n">
        <v>66.2</v>
      </c>
      <c r="K5" t="n">
        <v>27.96</v>
      </c>
      <c r="L5" t="n">
        <v>18.69</v>
      </c>
      <c r="M5" t="n">
        <v>34.6</v>
      </c>
      <c r="N5" t="n">
        <v>32.03</v>
      </c>
      <c r="O5" t="n">
        <v>22.76</v>
      </c>
      <c r="P5" t="n">
        <v>42.2</v>
      </c>
      <c r="Q5" t="n">
        <v>19.63</v>
      </c>
      <c r="R5" t="n">
        <v>1104</v>
      </c>
      <c r="S5" t="n">
        <v>1296</v>
      </c>
      <c r="T5" t="n">
        <v>2400</v>
      </c>
      <c r="U5" t="n">
        <v>23935</v>
      </c>
      <c r="V5" t="n">
        <v>25435</v>
      </c>
      <c r="W5" t="n">
        <v>49370</v>
      </c>
      <c r="X5" t="inlineStr"/>
      <c r="Y5" t="inlineStr"/>
    </row>
    <row r="6">
      <c r="A6" t="inlineStr">
        <is>
          <t>Masala Poori Sabji [4 Pieces]</t>
        </is>
      </c>
      <c r="B6" t="inlineStr">
        <is>
          <t>Chole Wala</t>
        </is>
      </c>
      <c r="C6" t="inlineStr">
        <is>
          <t>Deep-fry</t>
        </is>
      </c>
      <c r="D6" t="n">
        <v>11.05</v>
      </c>
      <c r="E6" t="n">
        <v>105</v>
      </c>
      <c r="F6" t="n">
        <v>100</v>
      </c>
      <c r="G6" t="n">
        <v>88.95</v>
      </c>
      <c r="H6" t="n">
        <v>89</v>
      </c>
      <c r="I6" t="n">
        <v>141</v>
      </c>
      <c r="J6" t="n">
        <v>34.3</v>
      </c>
      <c r="K6" t="n">
        <v>73.02</v>
      </c>
      <c r="L6" t="n">
        <v>61.97</v>
      </c>
      <c r="M6" t="n">
        <v>43.9</v>
      </c>
      <c r="N6" t="n">
        <v>83.64</v>
      </c>
      <c r="O6" t="n">
        <v>72.59</v>
      </c>
      <c r="P6" t="n">
        <v>51.5</v>
      </c>
      <c r="Q6" t="n">
        <v>64.41</v>
      </c>
      <c r="R6" t="n">
        <v>186</v>
      </c>
      <c r="S6" t="n">
        <v>341</v>
      </c>
      <c r="T6" t="n">
        <v>527</v>
      </c>
      <c r="U6" t="n">
        <v>16545</v>
      </c>
      <c r="V6" t="n">
        <v>21965</v>
      </c>
      <c r="W6" t="n">
        <v>38510</v>
      </c>
      <c r="X6" t="inlineStr"/>
      <c r="Y6" t="inlineStr"/>
    </row>
    <row r="7">
      <c r="A7" t="inlineStr">
        <is>
          <t>Mathura Ki Special Bedai Sabji</t>
        </is>
      </c>
      <c r="B7" t="inlineStr">
        <is>
          <t>Kachori Wala</t>
        </is>
      </c>
      <c r="C7" t="inlineStr">
        <is>
          <t>Deep-fry</t>
        </is>
      </c>
      <c r="D7" t="n">
        <v>6.11</v>
      </c>
      <c r="E7" t="n">
        <v>32.5</v>
      </c>
      <c r="F7" t="n">
        <v>30.95</v>
      </c>
      <c r="G7" t="n">
        <v>24.84</v>
      </c>
      <c r="H7" t="n">
        <v>80.3</v>
      </c>
      <c r="I7" t="n">
        <v>54</v>
      </c>
      <c r="J7" t="n">
        <v>66.2</v>
      </c>
      <c r="K7" t="n">
        <v>27.96</v>
      </c>
      <c r="L7" t="n">
        <v>21.85</v>
      </c>
      <c r="M7" t="n">
        <v>40.5</v>
      </c>
      <c r="N7" t="n">
        <v>32.03</v>
      </c>
      <c r="O7" t="n">
        <v>25.92</v>
      </c>
      <c r="P7" t="n">
        <v>48</v>
      </c>
      <c r="Q7" t="n">
        <v>22.79</v>
      </c>
      <c r="R7" t="n">
        <v>751</v>
      </c>
      <c r="S7" t="n">
        <v>686</v>
      </c>
      <c r="T7" t="n">
        <v>1437</v>
      </c>
      <c r="U7" t="n">
        <v>18655</v>
      </c>
      <c r="V7" t="n">
        <v>15631</v>
      </c>
      <c r="W7" t="n">
        <v>34286</v>
      </c>
      <c r="X7" t="inlineStr"/>
      <c r="Y7" t="inlineStr"/>
    </row>
    <row r="8">
      <c r="A8" t="inlineStr">
        <is>
          <t>Kulhad Lassi (250 Ml)</t>
        </is>
      </c>
      <c r="B8" t="inlineStr">
        <is>
          <t>Lassi</t>
        </is>
      </c>
      <c r="C8" t="inlineStr">
        <is>
          <t>Assembled</t>
        </is>
      </c>
      <c r="D8" t="n">
        <v>17.87</v>
      </c>
      <c r="E8" t="n">
        <v>70</v>
      </c>
      <c r="F8" t="n">
        <v>66.67</v>
      </c>
      <c r="G8" t="n">
        <v>48.8</v>
      </c>
      <c r="H8" t="n">
        <v>73.2</v>
      </c>
      <c r="I8" t="n">
        <v>96.88</v>
      </c>
      <c r="J8" t="n">
        <v>38.4</v>
      </c>
      <c r="K8" t="n">
        <v>50.17</v>
      </c>
      <c r="L8" t="n">
        <v>32.3</v>
      </c>
      <c r="M8" t="n">
        <v>33.3</v>
      </c>
      <c r="N8" t="n">
        <v>57.47</v>
      </c>
      <c r="O8" t="n">
        <v>39.6</v>
      </c>
      <c r="P8" t="n">
        <v>40.9</v>
      </c>
      <c r="Q8" t="n">
        <v>33.98</v>
      </c>
      <c r="R8" t="n">
        <v>541</v>
      </c>
      <c r="S8" t="n">
        <v>84</v>
      </c>
      <c r="T8" t="n">
        <v>625</v>
      </c>
      <c r="U8" t="n">
        <v>26401</v>
      </c>
      <c r="V8" t="n">
        <v>2854</v>
      </c>
      <c r="W8" t="n">
        <v>29255</v>
      </c>
      <c r="X8" t="inlineStr"/>
      <c r="Y8" t="inlineStr"/>
    </row>
    <row r="9">
      <c r="A9" t="inlineStr">
        <is>
          <t>Chole Kulche (2 Pc)</t>
        </is>
      </c>
      <c r="B9" t="inlineStr">
        <is>
          <t>Chole Wala</t>
        </is>
      </c>
      <c r="C9" t="inlineStr">
        <is>
          <t>Simmer</t>
        </is>
      </c>
      <c r="D9" t="n">
        <v>48.45</v>
      </c>
      <c r="E9" t="n">
        <v>150</v>
      </c>
      <c r="F9" t="n">
        <v>142.86</v>
      </c>
      <c r="G9" t="n">
        <v>94.41</v>
      </c>
      <c r="H9" t="n">
        <v>66.09999999999999</v>
      </c>
      <c r="I9" t="n">
        <v>189</v>
      </c>
      <c r="J9" t="n">
        <v>26</v>
      </c>
      <c r="K9" t="n">
        <v>97.88</v>
      </c>
      <c r="L9" t="n">
        <v>49.43</v>
      </c>
      <c r="M9" t="n">
        <v>26.2</v>
      </c>
      <c r="N9" t="n">
        <v>112.11</v>
      </c>
      <c r="O9" t="n">
        <v>63.66</v>
      </c>
      <c r="P9" t="n">
        <v>33.7</v>
      </c>
      <c r="Q9" t="n">
        <v>52.7</v>
      </c>
      <c r="R9" t="n">
        <v>164</v>
      </c>
      <c r="S9" t="n">
        <v>210</v>
      </c>
      <c r="T9" t="n">
        <v>374</v>
      </c>
      <c r="U9" t="n">
        <v>15483</v>
      </c>
      <c r="V9" t="n">
        <v>11068</v>
      </c>
      <c r="W9" t="n">
        <v>26551</v>
      </c>
      <c r="X9" t="inlineStr"/>
      <c r="Y9" t="inlineStr"/>
    </row>
    <row r="10">
      <c r="A10" t="inlineStr">
        <is>
          <t>Rasmalai - 100 Gms</t>
        </is>
      </c>
      <c r="B10" t="inlineStr">
        <is>
          <t>Mithai</t>
        </is>
      </c>
      <c r="C10" t="inlineStr">
        <is>
          <t>Milk-reduce</t>
        </is>
      </c>
      <c r="D10" t="n">
        <v>21.34</v>
      </c>
      <c r="E10" t="n">
        <v>80</v>
      </c>
      <c r="F10" t="n">
        <v>76.19</v>
      </c>
      <c r="G10" t="n">
        <v>54.85</v>
      </c>
      <c r="H10" t="n">
        <v>72</v>
      </c>
      <c r="R10" t="n">
        <v>279</v>
      </c>
      <c r="S10" t="n">
        <v>0</v>
      </c>
      <c r="T10" t="n">
        <v>279</v>
      </c>
      <c r="U10" t="n">
        <v>15303</v>
      </c>
      <c r="V10" t="n">
        <v>0</v>
      </c>
      <c r="W10" t="n">
        <v>15303</v>
      </c>
      <c r="X10" t="inlineStr"/>
      <c r="Y10" t="inlineStr"/>
    </row>
    <row r="11">
      <c r="A11" t="inlineStr">
        <is>
          <t>Jodhpur Special Pyaz Kachori</t>
        </is>
      </c>
      <c r="B11" t="inlineStr">
        <is>
          <t>Kachori Wala</t>
        </is>
      </c>
      <c r="C11" t="inlineStr">
        <is>
          <t>Deep-fry</t>
        </is>
      </c>
      <c r="D11" t="n">
        <v>8.69</v>
      </c>
      <c r="E11" t="n">
        <v>30</v>
      </c>
      <c r="F11" t="n">
        <v>28.57</v>
      </c>
      <c r="G11" t="n">
        <v>19.88</v>
      </c>
      <c r="H11" t="n">
        <v>69.59999999999999</v>
      </c>
      <c r="I11" t="n">
        <v>45</v>
      </c>
      <c r="J11" t="n">
        <v>50</v>
      </c>
      <c r="K11" t="n">
        <v>23.3</v>
      </c>
      <c r="L11" t="n">
        <v>14.61</v>
      </c>
      <c r="M11" t="n">
        <v>32.5</v>
      </c>
      <c r="N11" t="n">
        <v>26.69</v>
      </c>
      <c r="O11" t="n">
        <v>18</v>
      </c>
      <c r="P11" t="n">
        <v>40</v>
      </c>
      <c r="Q11" t="n">
        <v>15.39</v>
      </c>
      <c r="R11" t="n">
        <v>420</v>
      </c>
      <c r="S11" t="n">
        <v>437</v>
      </c>
      <c r="T11" t="n">
        <v>857</v>
      </c>
      <c r="U11" t="n">
        <v>8350</v>
      </c>
      <c r="V11" t="n">
        <v>6725</v>
      </c>
      <c r="W11" t="n">
        <v>15075</v>
      </c>
      <c r="X11" t="inlineStr"/>
      <c r="Y11" t="inlineStr"/>
    </row>
    <row r="12">
      <c r="A12" t="inlineStr">
        <is>
          <t>Chole Samosa Chaat</t>
        </is>
      </c>
      <c r="B12" t="inlineStr">
        <is>
          <t>Chaat Wala</t>
        </is>
      </c>
      <c r="C12" t="inlineStr">
        <is>
          <t>Deep-fry</t>
        </is>
      </c>
      <c r="D12" t="n">
        <v>18.38</v>
      </c>
      <c r="E12" t="n">
        <v>70</v>
      </c>
      <c r="F12" t="n">
        <v>66.67</v>
      </c>
      <c r="G12" t="n">
        <v>48.29</v>
      </c>
      <c r="H12" t="n">
        <v>72.40000000000001</v>
      </c>
      <c r="I12" t="n">
        <v>70</v>
      </c>
      <c r="J12" t="n">
        <v>0</v>
      </c>
      <c r="K12" t="n">
        <v>36.25</v>
      </c>
      <c r="L12" t="n">
        <v>17.87</v>
      </c>
      <c r="M12" t="n">
        <v>25.5</v>
      </c>
      <c r="N12" t="n">
        <v>41.52</v>
      </c>
      <c r="O12" t="n">
        <v>23.14</v>
      </c>
      <c r="P12" t="n">
        <v>33.1</v>
      </c>
      <c r="Q12" t="n">
        <v>19.08</v>
      </c>
      <c r="R12" t="n">
        <v>247</v>
      </c>
      <c r="S12" t="n">
        <v>159</v>
      </c>
      <c r="T12" t="n">
        <v>406</v>
      </c>
      <c r="U12" t="n">
        <v>11928</v>
      </c>
      <c r="V12" t="n">
        <v>3034</v>
      </c>
      <c r="W12" t="n">
        <v>14962</v>
      </c>
      <c r="X12" t="inlineStr"/>
      <c r="Y12" t="inlineStr"/>
    </row>
    <row r="13">
      <c r="A13" s="42" t="inlineStr">
        <is>
          <t>Kachori</t>
        </is>
      </c>
      <c r="B13" s="42" t="inlineStr">
        <is>
          <t>Kachori Wala</t>
        </is>
      </c>
      <c r="C13" s="42" t="inlineStr">
        <is>
          <t>Deep-fry</t>
        </is>
      </c>
      <c r="D13" s="42" t="n">
        <v>8.630000000000001</v>
      </c>
      <c r="E13" s="42" t="n">
        <v>20</v>
      </c>
      <c r="F13" s="42" t="n">
        <v>19.05</v>
      </c>
      <c r="G13" s="42" t="n">
        <v>10.42</v>
      </c>
      <c r="H13" s="42" t="n">
        <v>54.7</v>
      </c>
      <c r="I13" s="42" t="n">
        <v>30</v>
      </c>
      <c r="J13" s="42" t="n">
        <v>50</v>
      </c>
      <c r="K13" s="42" t="n">
        <v>15.54</v>
      </c>
      <c r="L13" s="42" t="n">
        <v>6.91</v>
      </c>
      <c r="M13" s="42" t="n">
        <v>23</v>
      </c>
      <c r="N13" s="42" t="n">
        <v>17.8</v>
      </c>
      <c r="O13" s="42" t="n">
        <v>9.17</v>
      </c>
      <c r="P13" s="42" t="n">
        <v>30.6</v>
      </c>
      <c r="Q13" s="42" t="n">
        <v>7.43</v>
      </c>
      <c r="R13" s="42" t="n">
        <v>860</v>
      </c>
      <c r="S13" s="42" t="n">
        <v>640</v>
      </c>
      <c r="T13" s="42" t="n">
        <v>1500</v>
      </c>
      <c r="U13" s="42" t="n">
        <v>8961</v>
      </c>
      <c r="V13" s="42" t="n">
        <v>4755</v>
      </c>
      <c r="W13" s="42" t="n">
        <v>13716</v>
      </c>
      <c r="X13" s="42" t="inlineStr"/>
      <c r="Y13" s="42" t="inlineStr"/>
    </row>
    <row r="14">
      <c r="A14" t="inlineStr">
        <is>
          <t>Malpua (Desi Ghee)</t>
        </is>
      </c>
      <c r="B14" t="inlineStr">
        <is>
          <t>Mithai</t>
        </is>
      </c>
      <c r="C14" t="inlineStr">
        <is>
          <t>Deep-fry</t>
        </is>
      </c>
      <c r="D14" t="n">
        <v>13.12</v>
      </c>
      <c r="E14" t="n">
        <v>700</v>
      </c>
      <c r="F14" t="n">
        <v>666.67</v>
      </c>
      <c r="G14" t="n">
        <v>653.55</v>
      </c>
      <c r="H14" t="n">
        <v>98</v>
      </c>
      <c r="R14" t="n">
        <v>21</v>
      </c>
      <c r="S14" t="n">
        <v>0</v>
      </c>
      <c r="T14" t="n">
        <v>21</v>
      </c>
      <c r="U14" t="n">
        <v>13711</v>
      </c>
      <c r="V14" t="n">
        <v>0</v>
      </c>
      <c r="W14" t="n">
        <v>13711</v>
      </c>
      <c r="X14" t="inlineStr"/>
      <c r="Y14" t="inlineStr"/>
    </row>
    <row r="15">
      <c r="A15" t="inlineStr">
        <is>
          <t>Aloo Paratha</t>
        </is>
      </c>
      <c r="B15" t="inlineStr">
        <is>
          <t>Parathe</t>
        </is>
      </c>
      <c r="C15" t="inlineStr">
        <is>
          <t>Tawa</t>
        </is>
      </c>
      <c r="D15" t="n">
        <v>17.11</v>
      </c>
      <c r="E15" t="n">
        <v>99</v>
      </c>
      <c r="F15" t="n">
        <v>94.29000000000001</v>
      </c>
      <c r="G15" t="n">
        <v>77.18000000000001</v>
      </c>
      <c r="H15" t="n">
        <v>81.90000000000001</v>
      </c>
      <c r="I15" t="n">
        <v>129</v>
      </c>
      <c r="J15" t="n">
        <v>30.3</v>
      </c>
      <c r="K15" t="n">
        <v>66.8</v>
      </c>
      <c r="L15" t="n">
        <v>49.69</v>
      </c>
      <c r="M15" t="n">
        <v>38.5</v>
      </c>
      <c r="N15" t="n">
        <v>76.52</v>
      </c>
      <c r="O15" t="n">
        <v>59.41</v>
      </c>
      <c r="P15" t="n">
        <v>46.1</v>
      </c>
      <c r="Q15" t="n">
        <v>51.93</v>
      </c>
      <c r="R15" t="n">
        <v>121</v>
      </c>
      <c r="S15" t="n">
        <v>80</v>
      </c>
      <c r="T15" t="n">
        <v>201</v>
      </c>
      <c r="U15" t="n">
        <v>9339</v>
      </c>
      <c r="V15" t="n">
        <v>4154</v>
      </c>
      <c r="W15" t="n">
        <v>13493</v>
      </c>
      <c r="X15" t="inlineStr"/>
      <c r="Y15" t="inlineStr"/>
    </row>
    <row r="16">
      <c r="A16" t="inlineStr">
        <is>
          <t>Jalebi Desi Ghee (100 Grams)</t>
        </is>
      </c>
      <c r="B16" t="inlineStr">
        <is>
          <t>Mithai</t>
        </is>
      </c>
      <c r="C16" t="inlineStr">
        <is>
          <t>Deep-fry</t>
        </is>
      </c>
      <c r="D16" t="n">
        <v>16.95</v>
      </c>
      <c r="E16" t="n">
        <v>60</v>
      </c>
      <c r="F16" t="n">
        <v>57.14</v>
      </c>
      <c r="G16" t="n">
        <v>40.19</v>
      </c>
      <c r="H16" t="n">
        <v>70.3</v>
      </c>
      <c r="I16" t="n">
        <v>80.09</v>
      </c>
      <c r="J16" t="n">
        <v>33.5</v>
      </c>
      <c r="K16" t="n">
        <v>41.48</v>
      </c>
      <c r="L16" t="n">
        <v>24.53</v>
      </c>
      <c r="M16" t="n">
        <v>30.6</v>
      </c>
      <c r="N16" t="n">
        <v>47.51</v>
      </c>
      <c r="O16" t="n">
        <v>30.56</v>
      </c>
      <c r="P16" t="n">
        <v>38.2</v>
      </c>
      <c r="Q16" t="n">
        <v>25.92</v>
      </c>
      <c r="R16" t="n">
        <v>142</v>
      </c>
      <c r="S16" t="n">
        <v>290</v>
      </c>
      <c r="T16" t="n">
        <v>432</v>
      </c>
      <c r="U16" t="n">
        <v>5725</v>
      </c>
      <c r="V16" t="n">
        <v>7516</v>
      </c>
      <c r="W16" t="n">
        <v>13241</v>
      </c>
      <c r="X16" t="inlineStr"/>
      <c r="Y16" t="inlineStr"/>
    </row>
    <row r="17">
      <c r="A17" t="inlineStr">
        <is>
          <t>Aloo Pyaz Samosa [1 Samosa]</t>
        </is>
      </c>
      <c r="B17" t="inlineStr">
        <is>
          <t>Samosa Wala</t>
        </is>
      </c>
      <c r="C17" t="inlineStr">
        <is>
          <t>Deep-fry</t>
        </is>
      </c>
      <c r="D17" t="n">
        <v>5.37</v>
      </c>
      <c r="E17" t="n">
        <v>27.5</v>
      </c>
      <c r="F17" t="n">
        <v>26.19</v>
      </c>
      <c r="G17" t="n">
        <v>20.82</v>
      </c>
      <c r="H17" t="n">
        <v>79.5</v>
      </c>
      <c r="I17" t="n">
        <v>41</v>
      </c>
      <c r="J17" t="n">
        <v>49.1</v>
      </c>
      <c r="K17" t="n">
        <v>21.23</v>
      </c>
      <c r="L17" t="n">
        <v>15.86</v>
      </c>
      <c r="M17" t="n">
        <v>38.7</v>
      </c>
      <c r="N17" t="n">
        <v>24.32</v>
      </c>
      <c r="O17" t="n">
        <v>18.95</v>
      </c>
      <c r="P17" t="n">
        <v>46.2</v>
      </c>
      <c r="Q17" t="n">
        <v>16.57</v>
      </c>
      <c r="R17" t="n">
        <v>205</v>
      </c>
      <c r="S17" t="n">
        <v>530</v>
      </c>
      <c r="T17" t="n">
        <v>735</v>
      </c>
      <c r="U17" t="n">
        <v>4268</v>
      </c>
      <c r="V17" t="n">
        <v>8782</v>
      </c>
      <c r="W17" t="n">
        <v>13050</v>
      </c>
      <c r="X17" t="inlineStr"/>
      <c r="Y17" t="inlineStr"/>
    </row>
    <row r="18">
      <c r="A18" t="inlineStr">
        <is>
          <t>Special Kesar Rabdi - 100grams</t>
        </is>
      </c>
      <c r="B18" t="inlineStr">
        <is>
          <t>Mithai</t>
        </is>
      </c>
      <c r="C18" t="inlineStr">
        <is>
          <t>Milk-reduce</t>
        </is>
      </c>
      <c r="D18" t="n">
        <v>21.41</v>
      </c>
      <c r="E18" t="n">
        <v>80</v>
      </c>
      <c r="F18" t="n">
        <v>76.19</v>
      </c>
      <c r="G18" t="n">
        <v>54.78</v>
      </c>
      <c r="H18" t="n">
        <v>71.90000000000001</v>
      </c>
      <c r="I18" t="n">
        <v>84.15000000000001</v>
      </c>
      <c r="J18" t="n">
        <v>5.2</v>
      </c>
      <c r="K18" t="n">
        <v>43.58</v>
      </c>
      <c r="L18" t="n">
        <v>22.17</v>
      </c>
      <c r="M18" t="n">
        <v>26.3</v>
      </c>
      <c r="N18" t="n">
        <v>49.92</v>
      </c>
      <c r="O18" t="n">
        <v>28.51</v>
      </c>
      <c r="P18" t="n">
        <v>33.9</v>
      </c>
      <c r="Q18" t="n">
        <v>23.63</v>
      </c>
      <c r="R18" t="n">
        <v>180</v>
      </c>
      <c r="S18" t="n">
        <v>112</v>
      </c>
      <c r="T18" t="n">
        <v>292</v>
      </c>
      <c r="U18" t="n">
        <v>9852</v>
      </c>
      <c r="V18" t="n">
        <v>2646</v>
      </c>
      <c r="W18" t="n">
        <v>12498</v>
      </c>
      <c r="X18" t="inlineStr"/>
      <c r="Y18" t="inlineStr"/>
    </row>
    <row r="19">
      <c r="A19" t="inlineStr">
        <is>
          <t>Dahi Samosa Chaat</t>
        </is>
      </c>
      <c r="B19" t="inlineStr">
        <is>
          <t>Chaat Wala</t>
        </is>
      </c>
      <c r="C19" t="inlineStr">
        <is>
          <t>Deep-fry</t>
        </is>
      </c>
      <c r="D19" t="n">
        <v>14.25</v>
      </c>
      <c r="E19" t="n">
        <v>60</v>
      </c>
      <c r="F19" t="n">
        <v>57.14</v>
      </c>
      <c r="G19" t="n">
        <v>42.89</v>
      </c>
      <c r="H19" t="n">
        <v>75.09999999999999</v>
      </c>
      <c r="I19" t="n">
        <v>112</v>
      </c>
      <c r="J19" t="n">
        <v>86.7</v>
      </c>
      <c r="K19" t="n">
        <v>58</v>
      </c>
      <c r="L19" t="n">
        <v>43.75</v>
      </c>
      <c r="M19" t="n">
        <v>39.1</v>
      </c>
      <c r="N19" t="n">
        <v>66.44</v>
      </c>
      <c r="O19" t="n">
        <v>52.19</v>
      </c>
      <c r="P19" t="n">
        <v>46.6</v>
      </c>
      <c r="Q19" t="n">
        <v>45.69</v>
      </c>
      <c r="R19" t="n">
        <v>205</v>
      </c>
      <c r="S19" t="n">
        <v>78</v>
      </c>
      <c r="T19" t="n">
        <v>283</v>
      </c>
      <c r="U19" t="n">
        <v>8792</v>
      </c>
      <c r="V19" t="n">
        <v>3564</v>
      </c>
      <c r="W19" t="n">
        <v>12356</v>
      </c>
      <c r="X19" t="inlineStr"/>
      <c r="Y19" t="inlineStr"/>
    </row>
    <row r="20">
      <c r="A20" t="inlineStr">
        <is>
          <t>Pyaz Pakora</t>
        </is>
      </c>
      <c r="B20" t="inlineStr">
        <is>
          <t>Pakora</t>
        </is>
      </c>
      <c r="C20" t="inlineStr">
        <is>
          <t>Deep-fry</t>
        </is>
      </c>
      <c r="D20" t="n">
        <v>4.14</v>
      </c>
      <c r="E20" t="n">
        <v>35</v>
      </c>
      <c r="F20" t="n">
        <v>33.33</v>
      </c>
      <c r="G20" t="n">
        <v>29.19</v>
      </c>
      <c r="H20" t="n">
        <v>87.59999999999999</v>
      </c>
      <c r="I20" t="n">
        <v>89</v>
      </c>
      <c r="J20" t="n">
        <v>154.3</v>
      </c>
      <c r="K20" t="n">
        <v>46.09</v>
      </c>
      <c r="L20" t="n">
        <v>41.95</v>
      </c>
      <c r="M20" t="n">
        <v>47.1</v>
      </c>
      <c r="N20" t="n">
        <v>52.79</v>
      </c>
      <c r="O20" t="n">
        <v>48.65</v>
      </c>
      <c r="P20" t="n">
        <v>54.7</v>
      </c>
      <c r="Q20" t="n">
        <v>43.49</v>
      </c>
      <c r="R20" t="n">
        <v>418</v>
      </c>
      <c r="S20" t="n">
        <v>0</v>
      </c>
      <c r="T20" t="n">
        <v>418</v>
      </c>
      <c r="U20" t="n">
        <v>12201</v>
      </c>
      <c r="V20" t="n">
        <v>0</v>
      </c>
      <c r="W20" t="n">
        <v>12201</v>
      </c>
      <c r="X20" t="inlineStr"/>
      <c r="Y20" t="inlineStr">
        <is>
          <t>markup +154% looks like a portion or pack mismatch, confirm before acting</t>
        </is>
      </c>
    </row>
    <row r="21">
      <c r="A21" t="inlineStr">
        <is>
          <t>Mix Pakora</t>
        </is>
      </c>
      <c r="B21" t="inlineStr">
        <is>
          <t>Pakora</t>
        </is>
      </c>
      <c r="C21" t="inlineStr">
        <is>
          <t>Deep-fry</t>
        </is>
      </c>
      <c r="D21" t="n">
        <v>2.84</v>
      </c>
      <c r="E21" t="n">
        <v>35</v>
      </c>
      <c r="F21" t="n">
        <v>33.33</v>
      </c>
      <c r="G21" t="n">
        <v>30.49</v>
      </c>
      <c r="H21" t="n">
        <v>91.5</v>
      </c>
      <c r="I21" t="n">
        <v>89</v>
      </c>
      <c r="J21" t="n">
        <v>154.3</v>
      </c>
      <c r="K21" t="n">
        <v>46.09</v>
      </c>
      <c r="L21" t="n">
        <v>43.25</v>
      </c>
      <c r="M21" t="n">
        <v>48.6</v>
      </c>
      <c r="N21" t="n">
        <v>52.79</v>
      </c>
      <c r="O21" t="n">
        <v>49.95</v>
      </c>
      <c r="P21" t="n">
        <v>56.1</v>
      </c>
      <c r="Q21" t="n">
        <v>44.79</v>
      </c>
      <c r="R21" t="n">
        <v>398</v>
      </c>
      <c r="S21" t="n">
        <v>0</v>
      </c>
      <c r="T21" t="n">
        <v>398</v>
      </c>
      <c r="U21" t="n">
        <v>12135</v>
      </c>
      <c r="V21" t="n">
        <v>0</v>
      </c>
      <c r="W21" t="n">
        <v>12135</v>
      </c>
      <c r="X21" t="inlineStr"/>
      <c r="Y21" t="inlineStr">
        <is>
          <t>markup +154% looks like a portion or pack mismatch, confirm before acting</t>
        </is>
      </c>
    </row>
    <row r="22">
      <c r="A22" t="inlineStr">
        <is>
          <t>Mathura Ka Peda</t>
        </is>
      </c>
      <c r="B22" t="inlineStr">
        <is>
          <t>Mithai</t>
        </is>
      </c>
      <c r="C22" t="inlineStr">
        <is>
          <t>Milk-reduce</t>
        </is>
      </c>
      <c r="D22" t="n">
        <v>299.76</v>
      </c>
      <c r="E22" t="n">
        <v>700</v>
      </c>
      <c r="F22" t="n">
        <v>666.67</v>
      </c>
      <c r="G22" t="n">
        <v>366.91</v>
      </c>
      <c r="H22" t="n">
        <v>55</v>
      </c>
      <c r="R22" t="n">
        <v>32</v>
      </c>
      <c r="S22" t="n">
        <v>0</v>
      </c>
      <c r="T22" t="n">
        <v>32</v>
      </c>
      <c r="U22" t="n">
        <v>11763</v>
      </c>
      <c r="V22" t="n">
        <v>0</v>
      </c>
      <c r="W22" t="n">
        <v>11763</v>
      </c>
      <c r="X22" t="inlineStr"/>
      <c r="Y22" t="inlineStr"/>
    </row>
    <row r="23">
      <c r="A23" t="inlineStr">
        <is>
          <t>Jalebi Desi Ghee</t>
        </is>
      </c>
      <c r="B23" t="inlineStr">
        <is>
          <t>Mithai</t>
        </is>
      </c>
      <c r="C23" t="inlineStr">
        <is>
          <t>Deep-fry</t>
        </is>
      </c>
      <c r="D23" t="n">
        <v>16.95</v>
      </c>
      <c r="E23" t="n">
        <v>600</v>
      </c>
      <c r="F23" t="n">
        <v>571.4299999999999</v>
      </c>
      <c r="G23" t="n">
        <v>554.48</v>
      </c>
      <c r="H23" t="n">
        <v>97</v>
      </c>
      <c r="R23" t="n">
        <v>21</v>
      </c>
      <c r="S23" t="n">
        <v>0</v>
      </c>
      <c r="T23" t="n">
        <v>21</v>
      </c>
      <c r="U23" t="n">
        <v>11544</v>
      </c>
      <c r="V23" t="n">
        <v>0</v>
      </c>
      <c r="W23" t="n">
        <v>11544</v>
      </c>
      <c r="X23" t="inlineStr"/>
      <c r="Y23" t="inlineStr"/>
    </row>
    <row r="24">
      <c r="A24" t="inlineStr">
        <is>
          <t>Malpua (Desi Ghee) - 100 Gms</t>
        </is>
      </c>
      <c r="B24" t="inlineStr">
        <is>
          <t>Mithai</t>
        </is>
      </c>
      <c r="C24" t="inlineStr">
        <is>
          <t>Deep-fry</t>
        </is>
      </c>
      <c r="D24" t="n">
        <v>13.12</v>
      </c>
      <c r="E24" t="n">
        <v>80</v>
      </c>
      <c r="F24" t="n">
        <v>76.19</v>
      </c>
      <c r="G24" t="n">
        <v>63.07</v>
      </c>
      <c r="H24" t="n">
        <v>82.8</v>
      </c>
      <c r="I24" t="n">
        <v>113.21</v>
      </c>
      <c r="J24" t="n">
        <v>41.5</v>
      </c>
      <c r="K24" t="n">
        <v>58.63</v>
      </c>
      <c r="L24" t="n">
        <v>45.51</v>
      </c>
      <c r="M24" t="n">
        <v>40.2</v>
      </c>
      <c r="N24" t="n">
        <v>67.16</v>
      </c>
      <c r="O24" t="n">
        <v>54.04</v>
      </c>
      <c r="P24" t="n">
        <v>47.7</v>
      </c>
      <c r="Q24" t="n">
        <v>47.47</v>
      </c>
      <c r="R24" t="n">
        <v>144</v>
      </c>
      <c r="S24" t="n">
        <v>52</v>
      </c>
      <c r="T24" t="n">
        <v>196</v>
      </c>
      <c r="U24" t="n">
        <v>9051</v>
      </c>
      <c r="V24" t="n">
        <v>2469</v>
      </c>
      <c r="W24" t="n">
        <v>11520</v>
      </c>
      <c r="X24" t="inlineStr"/>
      <c r="Y24" t="inlineStr"/>
    </row>
    <row r="25">
      <c r="A25" t="inlineStr">
        <is>
          <t>Dahi Bhalla Papdi</t>
        </is>
      </c>
      <c r="B25" t="inlineStr">
        <is>
          <t>Chaat Wala</t>
        </is>
      </c>
      <c r="C25" t="inlineStr">
        <is>
          <t>Deep-fry</t>
        </is>
      </c>
      <c r="D25" t="n">
        <v>21.31</v>
      </c>
      <c r="E25" t="n">
        <v>100</v>
      </c>
      <c r="F25" t="n">
        <v>95.23999999999999</v>
      </c>
      <c r="G25" t="n">
        <v>73.93000000000001</v>
      </c>
      <c r="H25" t="n">
        <v>77.59999999999999</v>
      </c>
      <c r="I25" t="n">
        <v>129</v>
      </c>
      <c r="J25" t="n">
        <v>29</v>
      </c>
      <c r="K25" t="n">
        <v>66.8</v>
      </c>
      <c r="L25" t="n">
        <v>45.49</v>
      </c>
      <c r="M25" t="n">
        <v>35.3</v>
      </c>
      <c r="N25" t="n">
        <v>76.52</v>
      </c>
      <c r="O25" t="n">
        <v>55.21</v>
      </c>
      <c r="P25" t="n">
        <v>42.8</v>
      </c>
      <c r="Q25" t="n">
        <v>47.73</v>
      </c>
      <c r="R25" t="n">
        <v>63</v>
      </c>
      <c r="S25" t="n">
        <v>106</v>
      </c>
      <c r="T25" t="n">
        <v>169</v>
      </c>
      <c r="U25" t="n">
        <v>4658</v>
      </c>
      <c r="V25" t="n">
        <v>5059</v>
      </c>
      <c r="W25" t="n">
        <v>9717</v>
      </c>
      <c r="X25" t="inlineStr"/>
      <c r="Y25" t="inlineStr"/>
    </row>
    <row r="26">
      <c r="A26" t="inlineStr">
        <is>
          <t>Special Kesar Rabdi</t>
        </is>
      </c>
      <c r="B26" t="inlineStr">
        <is>
          <t>Mithai</t>
        </is>
      </c>
      <c r="C26" t="inlineStr">
        <is>
          <t>Milk-reduce</t>
        </is>
      </c>
      <c r="D26" t="n">
        <v>21.41</v>
      </c>
      <c r="E26" t="n">
        <v>700</v>
      </c>
      <c r="F26" t="n">
        <v>666.67</v>
      </c>
      <c r="G26" t="n">
        <v>645.26</v>
      </c>
      <c r="H26" t="n">
        <v>96.8</v>
      </c>
      <c r="R26" t="n">
        <v>15</v>
      </c>
      <c r="S26" t="n">
        <v>0</v>
      </c>
      <c r="T26" t="n">
        <v>15</v>
      </c>
      <c r="U26" t="n">
        <v>9653</v>
      </c>
      <c r="V26" t="n">
        <v>0</v>
      </c>
      <c r="W26" t="n">
        <v>9653</v>
      </c>
      <c r="X26" t="inlineStr"/>
      <c r="Y26" t="inlineStr"/>
    </row>
    <row r="27">
      <c r="A27" t="inlineStr">
        <is>
          <t>Matar Kulche (2 Pc)</t>
        </is>
      </c>
      <c r="B27" t="inlineStr">
        <is>
          <t>Chole Wala</t>
        </is>
      </c>
      <c r="C27" t="inlineStr">
        <is>
          <t>Simmer</t>
        </is>
      </c>
      <c r="D27" t="n">
        <v>44.71</v>
      </c>
      <c r="E27" t="n">
        <v>150</v>
      </c>
      <c r="F27" t="n">
        <v>142.86</v>
      </c>
      <c r="G27" t="n">
        <v>98.15000000000001</v>
      </c>
      <c r="H27" t="n">
        <v>68.7</v>
      </c>
      <c r="I27" t="n">
        <v>184.92</v>
      </c>
      <c r="J27" t="n">
        <v>23.3</v>
      </c>
      <c r="K27" t="n">
        <v>95.76000000000001</v>
      </c>
      <c r="L27" t="n">
        <v>51.05</v>
      </c>
      <c r="M27" t="n">
        <v>27.6</v>
      </c>
      <c r="N27" t="n">
        <v>109.69</v>
      </c>
      <c r="O27" t="n">
        <v>64.98</v>
      </c>
      <c r="P27" t="n">
        <v>35.1</v>
      </c>
      <c r="Q27" t="n">
        <v>54.25</v>
      </c>
      <c r="R27" t="n">
        <v>28</v>
      </c>
      <c r="S27" t="n">
        <v>111</v>
      </c>
      <c r="T27" t="n">
        <v>139</v>
      </c>
      <c r="U27" t="n">
        <v>2748</v>
      </c>
      <c r="V27" t="n">
        <v>6022</v>
      </c>
      <c r="W27" t="n">
        <v>8770</v>
      </c>
      <c r="X27" t="inlineStr"/>
      <c r="Y27" t="inlineStr"/>
    </row>
    <row r="28">
      <c r="A28" t="inlineStr">
        <is>
          <t>Rabdi Jalebi</t>
        </is>
      </c>
      <c r="B28" t="inlineStr">
        <is>
          <t>Mithai</t>
        </is>
      </c>
      <c r="C28" t="inlineStr">
        <is>
          <t>Milk-reduce</t>
        </is>
      </c>
      <c r="D28" t="n">
        <v>38.36</v>
      </c>
      <c r="E28" t="n">
        <v>140</v>
      </c>
      <c r="F28" t="n">
        <v>133.33</v>
      </c>
      <c r="G28" t="n">
        <v>94.97</v>
      </c>
      <c r="H28" t="n">
        <v>71.2</v>
      </c>
      <c r="R28" t="n">
        <v>90</v>
      </c>
      <c r="S28" t="n">
        <v>0</v>
      </c>
      <c r="T28" t="n">
        <v>90</v>
      </c>
      <c r="U28" t="n">
        <v>8547</v>
      </c>
      <c r="V28" t="n">
        <v>0</v>
      </c>
      <c r="W28" t="n">
        <v>8547</v>
      </c>
      <c r="X28" t="inlineStr"/>
      <c r="Y28" t="inlineStr"/>
    </row>
    <row r="29">
      <c r="A29" t="inlineStr">
        <is>
          <t>Rabdi Jalebi (200 Grams)</t>
        </is>
      </c>
      <c r="B29" t="inlineStr">
        <is>
          <t>Mithai</t>
        </is>
      </c>
      <c r="C29" t="inlineStr">
        <is>
          <t>Milk-reduce</t>
        </is>
      </c>
      <c r="D29" t="n">
        <v>38.36</v>
      </c>
      <c r="E29" t="n">
        <v>140</v>
      </c>
      <c r="F29" t="n">
        <v>133.33</v>
      </c>
      <c r="G29" t="n">
        <v>94.97</v>
      </c>
      <c r="H29" t="n">
        <v>71.2</v>
      </c>
      <c r="I29" t="n">
        <v>161.83</v>
      </c>
      <c r="J29" t="n">
        <v>15.6</v>
      </c>
      <c r="K29" t="n">
        <v>83.81</v>
      </c>
      <c r="L29" t="n">
        <v>45.45</v>
      </c>
      <c r="M29" t="n">
        <v>28.1</v>
      </c>
      <c r="N29" t="n">
        <v>96</v>
      </c>
      <c r="O29" t="n">
        <v>57.64</v>
      </c>
      <c r="P29" t="n">
        <v>35.6</v>
      </c>
      <c r="Q29" t="n">
        <v>48.25</v>
      </c>
      <c r="R29" t="n">
        <v>0</v>
      </c>
      <c r="S29" t="n">
        <v>175</v>
      </c>
      <c r="T29" t="n">
        <v>175</v>
      </c>
      <c r="U29" t="n">
        <v>0</v>
      </c>
      <c r="V29" t="n">
        <v>8444</v>
      </c>
      <c r="W29" t="n">
        <v>8444</v>
      </c>
      <c r="X29" t="inlineStr"/>
      <c r="Y29" t="inlineStr"/>
    </row>
    <row r="30">
      <c r="A30" t="inlineStr">
        <is>
          <t>Kala Jamun (1pc)</t>
        </is>
      </c>
      <c r="B30" t="inlineStr">
        <is>
          <t>Mithai</t>
        </is>
      </c>
      <c r="C30" t="inlineStr">
        <is>
          <t>Deep-fry</t>
        </is>
      </c>
      <c r="D30" t="n">
        <v>12.22</v>
      </c>
      <c r="E30" t="n">
        <v>42.27</v>
      </c>
      <c r="F30" t="n">
        <v>40.26</v>
      </c>
      <c r="G30" t="n">
        <v>28.04</v>
      </c>
      <c r="H30" t="n">
        <v>69.59999999999999</v>
      </c>
      <c r="I30" t="n">
        <v>55</v>
      </c>
      <c r="J30" t="n">
        <v>30.1</v>
      </c>
      <c r="K30" t="n">
        <v>28.48</v>
      </c>
      <c r="L30" t="n">
        <v>16.26</v>
      </c>
      <c r="M30" t="n">
        <v>29.6</v>
      </c>
      <c r="N30" t="n">
        <v>32.63</v>
      </c>
      <c r="O30" t="n">
        <v>20.41</v>
      </c>
      <c r="P30" t="n">
        <v>37.1</v>
      </c>
      <c r="Q30" t="n">
        <v>17.21</v>
      </c>
      <c r="R30" t="n">
        <v>242</v>
      </c>
      <c r="S30" t="n">
        <v>82</v>
      </c>
      <c r="T30" t="n">
        <v>324</v>
      </c>
      <c r="U30" t="n">
        <v>6786</v>
      </c>
      <c r="V30" t="n">
        <v>1412</v>
      </c>
      <c r="W30" t="n">
        <v>8198</v>
      </c>
      <c r="X30" t="inlineStr"/>
      <c r="Y30" t="inlineStr"/>
    </row>
    <row r="31">
      <c r="A31" t="inlineStr">
        <is>
          <t>Aloo Pyaz Paratha</t>
        </is>
      </c>
      <c r="B31" t="inlineStr">
        <is>
          <t>Parathe</t>
        </is>
      </c>
      <c r="C31" t="inlineStr">
        <is>
          <t>Tawa</t>
        </is>
      </c>
      <c r="D31" t="n">
        <v>16.77</v>
      </c>
      <c r="E31" t="n">
        <v>99</v>
      </c>
      <c r="F31" t="n">
        <v>94.29000000000001</v>
      </c>
      <c r="G31" t="n">
        <v>77.52</v>
      </c>
      <c r="H31" t="n">
        <v>82.2</v>
      </c>
      <c r="I31" t="n">
        <v>129</v>
      </c>
      <c r="J31" t="n">
        <v>30.3</v>
      </c>
      <c r="K31" t="n">
        <v>66.8</v>
      </c>
      <c r="L31" t="n">
        <v>50.03</v>
      </c>
      <c r="M31" t="n">
        <v>38.8</v>
      </c>
      <c r="N31" t="n">
        <v>76.52</v>
      </c>
      <c r="O31" t="n">
        <v>59.75</v>
      </c>
      <c r="P31" t="n">
        <v>46.3</v>
      </c>
      <c r="Q31" t="n">
        <v>52.27</v>
      </c>
      <c r="R31" t="n">
        <v>48</v>
      </c>
      <c r="S31" t="n">
        <v>78</v>
      </c>
      <c r="T31" t="n">
        <v>126</v>
      </c>
      <c r="U31" t="n">
        <v>3721</v>
      </c>
      <c r="V31" t="n">
        <v>4077</v>
      </c>
      <c r="W31" t="n">
        <v>7798</v>
      </c>
      <c r="X31" t="inlineStr"/>
      <c r="Y31" t="inlineStr"/>
    </row>
    <row r="32">
      <c r="A32" s="42" t="inlineStr">
        <is>
          <t>Raj Kachori</t>
        </is>
      </c>
      <c r="B32" s="42" t="inlineStr">
        <is>
          <t>Chaat Wala</t>
        </is>
      </c>
      <c r="C32" s="42" t="inlineStr">
        <is>
          <t>Deep-fry</t>
        </is>
      </c>
      <c r="D32" s="42" t="n">
        <v>36.7</v>
      </c>
      <c r="E32" s="42" t="n">
        <v>90</v>
      </c>
      <c r="F32" s="42" t="n">
        <v>85.70999999999999</v>
      </c>
      <c r="G32" s="42" t="n">
        <v>49.01</v>
      </c>
      <c r="H32" s="42" t="n">
        <v>57.2</v>
      </c>
      <c r="I32" s="42" t="n">
        <v>129</v>
      </c>
      <c r="J32" s="42" t="n">
        <v>43.3</v>
      </c>
      <c r="K32" s="42" t="n">
        <v>66.8</v>
      </c>
      <c r="L32" s="42" t="n">
        <v>30.1</v>
      </c>
      <c r="M32" s="42" t="n">
        <v>23.3</v>
      </c>
      <c r="N32" s="42" t="n">
        <v>76.52</v>
      </c>
      <c r="O32" s="42" t="n">
        <v>39.82</v>
      </c>
      <c r="P32" s="42" t="n">
        <v>30.9</v>
      </c>
      <c r="Q32" s="42" t="n">
        <v>32.34</v>
      </c>
      <c r="R32" s="42" t="n">
        <v>128</v>
      </c>
      <c r="S32" s="42" t="n">
        <v>31</v>
      </c>
      <c r="T32" s="42" t="n">
        <v>159</v>
      </c>
      <c r="U32" s="42" t="n">
        <v>6273</v>
      </c>
      <c r="V32" s="42" t="n">
        <v>1002</v>
      </c>
      <c r="W32" s="42" t="n">
        <v>7275</v>
      </c>
      <c r="X32" s="42" t="inlineStr"/>
      <c r="Y32" s="42" t="inlineStr"/>
    </row>
    <row r="33">
      <c r="A33" t="inlineStr">
        <is>
          <t>Kadhi Pakoda Rice/Kadhi Chawal</t>
        </is>
      </c>
      <c r="B33" t="inlineStr">
        <is>
          <t>Rice</t>
        </is>
      </c>
      <c r="C33" t="inlineStr">
        <is>
          <t>Simmer</t>
        </is>
      </c>
      <c r="D33" t="n">
        <v>22.26</v>
      </c>
      <c r="E33" t="n">
        <v>129</v>
      </c>
      <c r="F33" t="n">
        <v>122.86</v>
      </c>
      <c r="G33" t="n">
        <v>100.6</v>
      </c>
      <c r="H33" t="n">
        <v>81.90000000000001</v>
      </c>
      <c r="I33" t="n">
        <v>159</v>
      </c>
      <c r="J33" t="n">
        <v>23.3</v>
      </c>
      <c r="K33" t="n">
        <v>82.34</v>
      </c>
      <c r="L33" t="n">
        <v>60.08</v>
      </c>
      <c r="M33" t="n">
        <v>37.8</v>
      </c>
      <c r="N33" t="n">
        <v>94.31999999999999</v>
      </c>
      <c r="O33" t="n">
        <v>72.06</v>
      </c>
      <c r="P33" t="n">
        <v>45.3</v>
      </c>
      <c r="Q33" t="n">
        <v>62.84</v>
      </c>
      <c r="R33" t="n">
        <v>71</v>
      </c>
      <c r="S33" t="n">
        <v>0</v>
      </c>
      <c r="T33" t="n">
        <v>71</v>
      </c>
      <c r="U33" t="n">
        <v>7143</v>
      </c>
      <c r="V33" t="n">
        <v>0</v>
      </c>
      <c r="W33" t="n">
        <v>7143</v>
      </c>
      <c r="X33" t="inlineStr"/>
      <c r="Y33" t="inlineStr"/>
    </row>
    <row r="34">
      <c r="A34" s="42" t="inlineStr">
        <is>
          <t>Bread Pakoda</t>
        </is>
      </c>
      <c r="B34" s="42" t="inlineStr">
        <is>
          <t>Snacks</t>
        </is>
      </c>
      <c r="C34" s="42" t="inlineStr">
        <is>
          <t>Deep-fry</t>
        </is>
      </c>
      <c r="D34" s="42" t="n">
        <v>16.07</v>
      </c>
      <c r="E34" s="42" t="n">
        <v>35</v>
      </c>
      <c r="F34" s="42" t="n">
        <v>33.33</v>
      </c>
      <c r="G34" s="42" t="n">
        <v>17.26</v>
      </c>
      <c r="H34" s="42" t="n">
        <v>51.8</v>
      </c>
      <c r="I34" s="42" t="n">
        <v>45</v>
      </c>
      <c r="J34" s="42" t="n">
        <v>28.6</v>
      </c>
      <c r="K34" s="42" t="n">
        <v>23.3</v>
      </c>
      <c r="L34" s="42" t="n">
        <v>7.23</v>
      </c>
      <c r="M34" s="42" t="n">
        <v>16.1</v>
      </c>
      <c r="N34" s="42" t="n">
        <v>26.69</v>
      </c>
      <c r="O34" s="42" t="n">
        <v>10.62</v>
      </c>
      <c r="P34" s="42" t="n">
        <v>23.6</v>
      </c>
      <c r="Q34" s="42" t="n">
        <v>8.01</v>
      </c>
      <c r="R34" s="42" t="n">
        <v>354</v>
      </c>
      <c r="S34" s="42" t="n">
        <v>65</v>
      </c>
      <c r="T34" s="42" t="n">
        <v>419</v>
      </c>
      <c r="U34" s="42" t="n">
        <v>6110</v>
      </c>
      <c r="V34" s="42" t="n">
        <v>521</v>
      </c>
      <c r="W34" s="42" t="n">
        <v>6631</v>
      </c>
      <c r="X34" s="42" t="inlineStr"/>
      <c r="Y34" s="42" t="inlineStr"/>
    </row>
    <row r="35">
      <c r="A35" t="inlineStr">
        <is>
          <t>Dahi Papri Chaat</t>
        </is>
      </c>
      <c r="B35" t="inlineStr">
        <is>
          <t>Chaat Wala</t>
        </is>
      </c>
      <c r="C35" t="inlineStr">
        <is>
          <t>Assembled</t>
        </is>
      </c>
      <c r="D35" t="n">
        <v>24.77</v>
      </c>
      <c r="E35" t="n">
        <v>90</v>
      </c>
      <c r="F35" t="n">
        <v>85.70999999999999</v>
      </c>
      <c r="G35" t="n">
        <v>60.94</v>
      </c>
      <c r="H35" t="n">
        <v>71.09999999999999</v>
      </c>
      <c r="R35" t="n">
        <v>104</v>
      </c>
      <c r="S35" t="n">
        <v>0</v>
      </c>
      <c r="T35" t="n">
        <v>104</v>
      </c>
      <c r="U35" t="n">
        <v>6338</v>
      </c>
      <c r="V35" t="n">
        <v>0</v>
      </c>
      <c r="W35" t="n">
        <v>6338</v>
      </c>
      <c r="X35" t="inlineStr"/>
      <c r="Y35" t="inlineStr"/>
    </row>
    <row r="36">
      <c r="A36" t="inlineStr">
        <is>
          <t>Sabji Samosa</t>
        </is>
      </c>
      <c r="B36" t="inlineStr">
        <is>
          <t>Samosa Wala</t>
        </is>
      </c>
      <c r="C36" t="inlineStr">
        <is>
          <t>Deep-fry</t>
        </is>
      </c>
      <c r="D36" t="n">
        <v>6.01</v>
      </c>
      <c r="E36" t="n">
        <v>35</v>
      </c>
      <c r="F36" t="n">
        <v>33.33</v>
      </c>
      <c r="G36" t="n">
        <v>27.32</v>
      </c>
      <c r="H36" t="n">
        <v>82</v>
      </c>
      <c r="I36" t="n">
        <v>45</v>
      </c>
      <c r="J36" t="n">
        <v>28.6</v>
      </c>
      <c r="K36" t="n">
        <v>23.3</v>
      </c>
      <c r="L36" t="n">
        <v>17.29</v>
      </c>
      <c r="M36" t="n">
        <v>38.4</v>
      </c>
      <c r="N36" t="n">
        <v>26.69</v>
      </c>
      <c r="O36" t="n">
        <v>20.68</v>
      </c>
      <c r="P36" t="n">
        <v>46</v>
      </c>
      <c r="Q36" t="n">
        <v>18.07</v>
      </c>
      <c r="R36" t="n">
        <v>185</v>
      </c>
      <c r="S36" t="n">
        <v>51</v>
      </c>
      <c r="T36" t="n">
        <v>236</v>
      </c>
      <c r="U36" t="n">
        <v>5054</v>
      </c>
      <c r="V36" t="n">
        <v>922</v>
      </c>
      <c r="W36" t="n">
        <v>5976</v>
      </c>
      <c r="X36" t="inlineStr"/>
      <c r="Y36" t="inlineStr"/>
    </row>
    <row r="37">
      <c r="A37" t="inlineStr">
        <is>
          <t>Kesar Rasmalai</t>
        </is>
      </c>
      <c r="B37" t="inlineStr">
        <is>
          <t>Mithai</t>
        </is>
      </c>
      <c r="C37" t="inlineStr">
        <is>
          <t>Milk-reduce</t>
        </is>
      </c>
      <c r="D37" t="n">
        <v>21.34</v>
      </c>
      <c r="E37" t="n">
        <v>700</v>
      </c>
      <c r="F37" t="n">
        <v>666.67</v>
      </c>
      <c r="G37" t="n">
        <v>645.33</v>
      </c>
      <c r="H37" t="n">
        <v>96.8</v>
      </c>
      <c r="R37" t="n">
        <v>9</v>
      </c>
      <c r="S37" t="n">
        <v>0</v>
      </c>
      <c r="T37" t="n">
        <v>9</v>
      </c>
      <c r="U37" t="n">
        <v>5969</v>
      </c>
      <c r="V37" t="n">
        <v>0</v>
      </c>
      <c r="W37" t="n">
        <v>5969</v>
      </c>
      <c r="X37" t="inlineStr"/>
      <c r="Y37" t="inlineStr"/>
    </row>
    <row r="38">
      <c r="A38" t="inlineStr">
        <is>
          <t>Dahi Bhalla</t>
        </is>
      </c>
      <c r="B38" t="inlineStr">
        <is>
          <t>Chaat Wala</t>
        </is>
      </c>
      <c r="C38" t="inlineStr">
        <is>
          <t>Deep-fry</t>
        </is>
      </c>
      <c r="D38" t="n">
        <v>23.51</v>
      </c>
      <c r="E38" t="n">
        <v>90</v>
      </c>
      <c r="F38" t="n">
        <v>85.70999999999999</v>
      </c>
      <c r="G38" t="n">
        <v>62.2</v>
      </c>
      <c r="H38" t="n">
        <v>72.59999999999999</v>
      </c>
      <c r="R38" t="n">
        <v>86</v>
      </c>
      <c r="S38" t="n">
        <v>0</v>
      </c>
      <c r="T38" t="n">
        <v>86</v>
      </c>
      <c r="U38" t="n">
        <v>5349</v>
      </c>
      <c r="V38" t="n">
        <v>0</v>
      </c>
      <c r="W38" t="n">
        <v>5349</v>
      </c>
      <c r="X38" t="inlineStr"/>
      <c r="Y38" t="inlineStr"/>
    </row>
    <row r="39">
      <c r="A39" t="inlineStr">
        <is>
          <t>Bedai</t>
        </is>
      </c>
      <c r="B39" t="inlineStr">
        <is>
          <t>Kachori Wala</t>
        </is>
      </c>
      <c r="C39" t="inlineStr">
        <is>
          <t>Deep-fry</t>
        </is>
      </c>
      <c r="D39" t="n">
        <v>5.47</v>
      </c>
      <c r="E39" t="n">
        <v>22.5</v>
      </c>
      <c r="F39" t="n">
        <v>21.43</v>
      </c>
      <c r="G39" t="n">
        <v>15.96</v>
      </c>
      <c r="H39" t="n">
        <v>74.5</v>
      </c>
      <c r="I39" t="n">
        <v>30</v>
      </c>
      <c r="J39" t="n">
        <v>33.3</v>
      </c>
      <c r="K39" t="n">
        <v>15.54</v>
      </c>
      <c r="L39" t="n">
        <v>10.07</v>
      </c>
      <c r="M39" t="n">
        <v>33.6</v>
      </c>
      <c r="N39" t="n">
        <v>17.8</v>
      </c>
      <c r="O39" t="n">
        <v>12.33</v>
      </c>
      <c r="P39" t="n">
        <v>41.1</v>
      </c>
      <c r="Q39" t="n">
        <v>10.59</v>
      </c>
      <c r="R39" t="n">
        <v>141</v>
      </c>
      <c r="S39" t="n">
        <v>289</v>
      </c>
      <c r="T39" t="n">
        <v>430</v>
      </c>
      <c r="U39" t="n">
        <v>2250</v>
      </c>
      <c r="V39" t="n">
        <v>3060</v>
      </c>
      <c r="W39" t="n">
        <v>5310</v>
      </c>
      <c r="X39" t="inlineStr"/>
      <c r="Y39" t="inlineStr"/>
    </row>
    <row r="40">
      <c r="A40" t="inlineStr">
        <is>
          <t>Paneer Paratha</t>
        </is>
      </c>
      <c r="B40" t="inlineStr">
        <is>
          <t>Parathe</t>
        </is>
      </c>
      <c r="C40" t="inlineStr">
        <is>
          <t>Tawa</t>
        </is>
      </c>
      <c r="D40" t="n">
        <v>28.8</v>
      </c>
      <c r="E40" t="n">
        <v>129</v>
      </c>
      <c r="F40" t="n">
        <v>122.86</v>
      </c>
      <c r="G40" t="n">
        <v>94.06</v>
      </c>
      <c r="H40" t="n">
        <v>76.59999999999999</v>
      </c>
      <c r="I40" t="n">
        <v>159</v>
      </c>
      <c r="J40" t="n">
        <v>23.3</v>
      </c>
      <c r="K40" t="n">
        <v>82.34</v>
      </c>
      <c r="L40" t="n">
        <v>53.54</v>
      </c>
      <c r="M40" t="n">
        <v>33.7</v>
      </c>
      <c r="N40" t="n">
        <v>94.31999999999999</v>
      </c>
      <c r="O40" t="n">
        <v>65.52</v>
      </c>
      <c r="P40" t="n">
        <v>41.2</v>
      </c>
      <c r="Q40" t="n">
        <v>56.3</v>
      </c>
      <c r="R40" t="n">
        <v>43</v>
      </c>
      <c r="S40" t="n">
        <v>20</v>
      </c>
      <c r="T40" t="n">
        <v>63</v>
      </c>
      <c r="U40" t="n">
        <v>4045</v>
      </c>
      <c r="V40" t="n">
        <v>1126</v>
      </c>
      <c r="W40" t="n">
        <v>5171</v>
      </c>
      <c r="X40" t="inlineStr"/>
      <c r="Y40" t="inlineStr"/>
    </row>
    <row r="41">
      <c r="A41" t="inlineStr">
        <is>
          <t>Moong Dal Halwa (100 Gms)</t>
        </is>
      </c>
      <c r="B41" t="inlineStr">
        <is>
          <t>Halwa</t>
        </is>
      </c>
      <c r="C41" t="inlineStr">
        <is>
          <t>Milk-reduce</t>
        </is>
      </c>
      <c r="D41" t="n">
        <v>16.09</v>
      </c>
      <c r="E41" t="n">
        <v>90</v>
      </c>
      <c r="F41" t="n">
        <v>85.70999999999999</v>
      </c>
      <c r="G41" t="n">
        <v>69.62</v>
      </c>
      <c r="H41" t="n">
        <v>81.2</v>
      </c>
      <c r="R41" t="n">
        <v>66</v>
      </c>
      <c r="S41" t="n">
        <v>0</v>
      </c>
      <c r="T41" t="n">
        <v>66</v>
      </c>
      <c r="U41" t="n">
        <v>4630</v>
      </c>
      <c r="V41" t="n">
        <v>0</v>
      </c>
      <c r="W41" t="n">
        <v>4630</v>
      </c>
      <c r="X41" t="inlineStr"/>
      <c r="Y41" t="inlineStr"/>
    </row>
    <row r="42">
      <c r="A42" t="inlineStr">
        <is>
          <t>Dahi Kachori Chaat</t>
        </is>
      </c>
      <c r="B42" t="inlineStr">
        <is>
          <t>Chaat Wala</t>
        </is>
      </c>
      <c r="C42" t="inlineStr">
        <is>
          <t>Deep-fry</t>
        </is>
      </c>
      <c r="D42" t="n">
        <v>13.41</v>
      </c>
      <c r="E42" t="n">
        <v>60</v>
      </c>
      <c r="F42" t="n">
        <v>57.14</v>
      </c>
      <c r="G42" t="n">
        <v>43.73</v>
      </c>
      <c r="H42" t="n">
        <v>76.5</v>
      </c>
      <c r="R42" t="n">
        <v>103</v>
      </c>
      <c r="S42" t="n">
        <v>0</v>
      </c>
      <c r="T42" t="n">
        <v>103</v>
      </c>
      <c r="U42" t="n">
        <v>4504</v>
      </c>
      <c r="V42" t="n">
        <v>0</v>
      </c>
      <c r="W42" t="n">
        <v>4504</v>
      </c>
      <c r="X42" t="inlineStr"/>
      <c r="Y42" t="inlineStr"/>
    </row>
    <row r="43">
      <c r="A43" t="inlineStr">
        <is>
          <t>Masala Chaas (Full)</t>
        </is>
      </c>
      <c r="B43" t="inlineStr">
        <is>
          <t>Lassi</t>
        </is>
      </c>
      <c r="C43" t="inlineStr">
        <is>
          <t>Assembled</t>
        </is>
      </c>
      <c r="D43" t="n">
        <v>8</v>
      </c>
      <c r="E43" t="n">
        <v>45</v>
      </c>
      <c r="F43" t="n">
        <v>42.86</v>
      </c>
      <c r="G43" t="n">
        <v>34.86</v>
      </c>
      <c r="H43" t="n">
        <v>81.3</v>
      </c>
      <c r="R43" t="n">
        <v>124</v>
      </c>
      <c r="S43" t="n">
        <v>0</v>
      </c>
      <c r="T43" t="n">
        <v>124</v>
      </c>
      <c r="U43" t="n">
        <v>4323</v>
      </c>
      <c r="V43" t="n">
        <v>0</v>
      </c>
      <c r="W43" t="n">
        <v>4323</v>
      </c>
      <c r="X43" t="inlineStr"/>
      <c r="Y43" t="inlineStr"/>
    </row>
    <row r="44">
      <c r="A44" t="inlineStr">
        <is>
          <t>Jalebi Desi Ghee (250 Gms)</t>
        </is>
      </c>
      <c r="B44" t="inlineStr">
        <is>
          <t>Mithai</t>
        </is>
      </c>
      <c r="C44" t="inlineStr">
        <is>
          <t>Deep-fry</t>
        </is>
      </c>
      <c r="D44" t="n">
        <v>42.38</v>
      </c>
      <c r="E44" t="n">
        <v>150</v>
      </c>
      <c r="F44" t="n">
        <v>142.86</v>
      </c>
      <c r="G44" t="n">
        <v>100.48</v>
      </c>
      <c r="H44" t="n">
        <v>70.3</v>
      </c>
      <c r="I44" t="n">
        <v>175</v>
      </c>
      <c r="J44" t="n">
        <v>16.7</v>
      </c>
      <c r="K44" t="n">
        <v>90.63</v>
      </c>
      <c r="L44" t="n">
        <v>48.25</v>
      </c>
      <c r="M44" t="n">
        <v>27.6</v>
      </c>
      <c r="N44" t="n">
        <v>103.81</v>
      </c>
      <c r="O44" t="n">
        <v>61.43</v>
      </c>
      <c r="P44" t="n">
        <v>35.1</v>
      </c>
      <c r="Q44" t="n">
        <v>51.28</v>
      </c>
      <c r="R44" t="n">
        <v>0</v>
      </c>
      <c r="S44" t="n">
        <v>78</v>
      </c>
      <c r="T44" t="n">
        <v>78</v>
      </c>
      <c r="U44" t="n">
        <v>0</v>
      </c>
      <c r="V44" t="n">
        <v>4000</v>
      </c>
      <c r="W44" t="n">
        <v>4000</v>
      </c>
      <c r="X44" t="inlineStr">
        <is>
          <t>yes</t>
        </is>
      </c>
      <c r="Y44" t="inlineStr"/>
    </row>
    <row r="45">
      <c r="A45" t="inlineStr">
        <is>
          <t>Mirchi Bada [2pcs]</t>
        </is>
      </c>
      <c r="B45" t="inlineStr">
        <is>
          <t>Pakora</t>
        </is>
      </c>
      <c r="C45" t="inlineStr">
        <is>
          <t>Deep-fry</t>
        </is>
      </c>
      <c r="D45" t="n">
        <v>22.87</v>
      </c>
      <c r="E45" t="n">
        <v>40</v>
      </c>
      <c r="F45" t="n">
        <v>38.1</v>
      </c>
      <c r="G45" t="n">
        <v>15.23</v>
      </c>
      <c r="H45" t="n">
        <v>40</v>
      </c>
      <c r="I45" t="n">
        <v>89</v>
      </c>
      <c r="J45" t="n">
        <v>122.5</v>
      </c>
      <c r="K45" t="n">
        <v>46.09</v>
      </c>
      <c r="L45" t="n">
        <v>23.22</v>
      </c>
      <c r="M45" t="n">
        <v>26.1</v>
      </c>
      <c r="N45" t="n">
        <v>52.79</v>
      </c>
      <c r="O45" t="n">
        <v>29.92</v>
      </c>
      <c r="P45" t="n">
        <v>33.6</v>
      </c>
      <c r="Q45" t="n">
        <v>24.76</v>
      </c>
      <c r="R45" t="n">
        <v>261</v>
      </c>
      <c r="S45" t="n">
        <v>0</v>
      </c>
      <c r="T45" t="n">
        <v>261</v>
      </c>
      <c r="U45" t="n">
        <v>3975</v>
      </c>
      <c r="V45" t="n">
        <v>0</v>
      </c>
      <c r="W45" t="n">
        <v>3975</v>
      </c>
      <c r="X45" t="inlineStr"/>
      <c r="Y45" t="inlineStr">
        <is>
          <t>markup +122% looks like a portion or pack mismatch, confirm before acting</t>
        </is>
      </c>
    </row>
    <row r="46">
      <c r="A46" t="inlineStr">
        <is>
          <t>Sooji Spdp 5 Pcs</t>
        </is>
      </c>
      <c r="B46" t="inlineStr">
        <is>
          <t>Poori Wala</t>
        </is>
      </c>
      <c r="C46" t="inlineStr">
        <is>
          <t>Assembled</t>
        </is>
      </c>
      <c r="D46" t="n">
        <v>21.91</v>
      </c>
      <c r="E46" t="n">
        <v>80</v>
      </c>
      <c r="F46" t="n">
        <v>76.19</v>
      </c>
      <c r="G46" t="n">
        <v>54.28</v>
      </c>
      <c r="H46" t="n">
        <v>71.2</v>
      </c>
      <c r="R46" t="n">
        <v>68</v>
      </c>
      <c r="S46" t="n">
        <v>0</v>
      </c>
      <c r="T46" t="n">
        <v>68</v>
      </c>
      <c r="U46" t="n">
        <v>3691</v>
      </c>
      <c r="V46" t="n">
        <v>0</v>
      </c>
      <c r="W46" t="n">
        <v>3691</v>
      </c>
      <c r="X46" t="inlineStr"/>
      <c r="Y46" t="inlineStr"/>
    </row>
    <row r="47">
      <c r="A47" t="inlineStr">
        <is>
          <t>Dahi Wada / Dahi Bhalla</t>
        </is>
      </c>
      <c r="B47" t="inlineStr">
        <is>
          <t>Chaat Wala</t>
        </is>
      </c>
      <c r="C47" t="inlineStr">
        <is>
          <t>Deep-fry</t>
        </is>
      </c>
      <c r="D47" t="n">
        <v>23.51</v>
      </c>
      <c r="I47" t="n">
        <v>119</v>
      </c>
      <c r="K47" t="n">
        <v>61.63</v>
      </c>
      <c r="L47" t="n">
        <v>38.12</v>
      </c>
      <c r="M47" t="n">
        <v>32</v>
      </c>
      <c r="N47" t="n">
        <v>70.59</v>
      </c>
      <c r="O47" t="n">
        <v>47.08</v>
      </c>
      <c r="P47" t="n">
        <v>39.6</v>
      </c>
      <c r="Q47" t="n">
        <v>40.18</v>
      </c>
      <c r="R47" t="n">
        <v>0</v>
      </c>
      <c r="S47" t="n">
        <v>91</v>
      </c>
      <c r="T47" t="n">
        <v>91</v>
      </c>
      <c r="U47" t="n">
        <v>0</v>
      </c>
      <c r="V47" t="n">
        <v>3656</v>
      </c>
      <c r="W47" t="n">
        <v>3656</v>
      </c>
      <c r="X47" t="inlineStr"/>
      <c r="Y47" t="inlineStr"/>
    </row>
    <row r="48">
      <c r="A48" t="inlineStr">
        <is>
          <t>Kala Jamun (250 Gms)</t>
        </is>
      </c>
      <c r="B48" t="inlineStr">
        <is>
          <t>Mithai</t>
        </is>
      </c>
      <c r="C48" t="inlineStr">
        <is>
          <t>Deep-fry</t>
        </is>
      </c>
      <c r="D48" t="n">
        <v>12.22</v>
      </c>
      <c r="I48" t="n">
        <v>261</v>
      </c>
      <c r="K48" t="n">
        <v>135.16</v>
      </c>
      <c r="L48" t="n">
        <v>122.94</v>
      </c>
      <c r="M48" t="n">
        <v>47.1</v>
      </c>
      <c r="N48" t="n">
        <v>154.83</v>
      </c>
      <c r="O48" t="n">
        <v>142.61</v>
      </c>
      <c r="P48" t="n">
        <v>54.6</v>
      </c>
      <c r="Q48" t="n">
        <v>127.46</v>
      </c>
      <c r="R48" t="n">
        <v>0</v>
      </c>
      <c r="S48" t="n">
        <v>28</v>
      </c>
      <c r="T48" t="n">
        <v>28</v>
      </c>
      <c r="U48" t="n">
        <v>0</v>
      </c>
      <c r="V48" t="n">
        <v>3569</v>
      </c>
      <c r="W48" t="n">
        <v>3569</v>
      </c>
      <c r="X48" t="inlineStr"/>
      <c r="Y48" t="inlineStr"/>
    </row>
    <row r="49">
      <c r="A49" t="inlineStr">
        <is>
          <t>Kesar Rasmalai (100 Grams)</t>
        </is>
      </c>
      <c r="B49" t="inlineStr">
        <is>
          <t>Mithai</t>
        </is>
      </c>
      <c r="C49" t="inlineStr">
        <is>
          <t>Milk-reduce</t>
        </is>
      </c>
      <c r="D49" t="n">
        <v>21.34</v>
      </c>
      <c r="E49" t="n">
        <v>70</v>
      </c>
      <c r="F49" t="n">
        <v>66.67</v>
      </c>
      <c r="G49" t="n">
        <v>45.33</v>
      </c>
      <c r="H49" t="n">
        <v>68</v>
      </c>
      <c r="I49" t="n">
        <v>109.95</v>
      </c>
      <c r="J49" t="n">
        <v>57.1</v>
      </c>
      <c r="K49" t="n">
        <v>56.94</v>
      </c>
      <c r="L49" t="n">
        <v>35.6</v>
      </c>
      <c r="M49" t="n">
        <v>32.4</v>
      </c>
      <c r="N49" t="n">
        <v>65.22</v>
      </c>
      <c r="O49" t="n">
        <v>43.88</v>
      </c>
      <c r="P49" t="n">
        <v>39.9</v>
      </c>
      <c r="Q49" t="n">
        <v>37.5</v>
      </c>
      <c r="R49" t="n">
        <v>0</v>
      </c>
      <c r="S49" t="n">
        <v>94</v>
      </c>
      <c r="T49" t="n">
        <v>94</v>
      </c>
      <c r="U49" t="n">
        <v>0</v>
      </c>
      <c r="V49" t="n">
        <v>3525</v>
      </c>
      <c r="W49" t="n">
        <v>3525</v>
      </c>
      <c r="X49" t="inlineStr">
        <is>
          <t>yes</t>
        </is>
      </c>
      <c r="Y49" t="inlineStr"/>
    </row>
    <row r="50">
      <c r="A50" t="inlineStr">
        <is>
          <t>Aloo Pyaz Sabji Samosa</t>
        </is>
      </c>
      <c r="B50" t="inlineStr">
        <is>
          <t>Samosa Wala</t>
        </is>
      </c>
      <c r="C50" t="inlineStr">
        <is>
          <t>Deep-fry</t>
        </is>
      </c>
      <c r="D50" t="n">
        <v>6.01</v>
      </c>
      <c r="E50" t="n">
        <v>40</v>
      </c>
      <c r="F50" t="n">
        <v>38.1</v>
      </c>
      <c r="G50" t="n">
        <v>32.09</v>
      </c>
      <c r="H50" t="n">
        <v>84.2</v>
      </c>
      <c r="I50" t="n">
        <v>50</v>
      </c>
      <c r="J50" t="n">
        <v>25</v>
      </c>
      <c r="K50" t="n">
        <v>25.89</v>
      </c>
      <c r="L50" t="n">
        <v>19.88</v>
      </c>
      <c r="M50" t="n">
        <v>39.8</v>
      </c>
      <c r="N50" t="n">
        <v>29.66</v>
      </c>
      <c r="O50" t="n">
        <v>23.65</v>
      </c>
      <c r="P50" t="n">
        <v>47.3</v>
      </c>
      <c r="Q50" t="n">
        <v>20.75</v>
      </c>
      <c r="R50" t="n">
        <v>54</v>
      </c>
      <c r="S50" t="n">
        <v>86</v>
      </c>
      <c r="T50" t="n">
        <v>140</v>
      </c>
      <c r="U50" t="n">
        <v>1733</v>
      </c>
      <c r="V50" t="n">
        <v>1784</v>
      </c>
      <c r="W50" t="n">
        <v>3517</v>
      </c>
      <c r="X50" t="inlineStr"/>
      <c r="Y50" t="inlineStr"/>
    </row>
    <row r="51">
      <c r="A51" t="inlineStr">
        <is>
          <t>Sooji Dahi  Poori - 5 Pcs</t>
        </is>
      </c>
      <c r="B51" t="inlineStr">
        <is>
          <t>Poori Wala</t>
        </is>
      </c>
      <c r="C51" t="inlineStr">
        <is>
          <t>Deep-fry</t>
        </is>
      </c>
      <c r="D51" t="n">
        <v>18.59</v>
      </c>
      <c r="E51" t="n">
        <v>70</v>
      </c>
      <c r="F51" t="n">
        <v>66.67</v>
      </c>
      <c r="G51" t="n">
        <v>48.08</v>
      </c>
      <c r="H51" t="n">
        <v>72.09999999999999</v>
      </c>
      <c r="R51" t="n">
        <v>72</v>
      </c>
      <c r="S51" t="n">
        <v>0</v>
      </c>
      <c r="T51" t="n">
        <v>72</v>
      </c>
      <c r="U51" t="n">
        <v>3462</v>
      </c>
      <c r="V51" t="n">
        <v>0</v>
      </c>
      <c r="W51" t="n">
        <v>3462</v>
      </c>
      <c r="X51" t="inlineStr"/>
      <c r="Y51" t="inlineStr"/>
    </row>
    <row r="52">
      <c r="A52" t="inlineStr">
        <is>
          <t>Rajma Rice/Rajma Chawal</t>
        </is>
      </c>
      <c r="B52" t="inlineStr">
        <is>
          <t>Rice</t>
        </is>
      </c>
      <c r="C52" t="inlineStr">
        <is>
          <t>Simmer</t>
        </is>
      </c>
      <c r="D52" t="n">
        <v>41.12</v>
      </c>
      <c r="E52" t="n">
        <v>149</v>
      </c>
      <c r="F52" t="n">
        <v>141.9</v>
      </c>
      <c r="G52" t="n">
        <v>100.78</v>
      </c>
      <c r="H52" t="n">
        <v>71</v>
      </c>
      <c r="R52" t="n">
        <v>32</v>
      </c>
      <c r="S52" t="n">
        <v>0</v>
      </c>
      <c r="T52" t="n">
        <v>32</v>
      </c>
      <c r="U52" t="n">
        <v>3225</v>
      </c>
      <c r="V52" t="n">
        <v>0</v>
      </c>
      <c r="W52" t="n">
        <v>3225</v>
      </c>
      <c r="X52" t="inlineStr"/>
      <c r="Y52" t="inlineStr"/>
    </row>
    <row r="53">
      <c r="A53" t="inlineStr">
        <is>
          <t>Kesar Rasmalai (250 Gms)</t>
        </is>
      </c>
      <c r="B53" t="inlineStr">
        <is>
          <t>Mithai</t>
        </is>
      </c>
      <c r="C53" t="inlineStr">
        <is>
          <t>Milk-reduce</t>
        </is>
      </c>
      <c r="D53" t="n">
        <v>53.35</v>
      </c>
      <c r="E53" t="n">
        <v>175</v>
      </c>
      <c r="F53" t="n">
        <v>166.67</v>
      </c>
      <c r="G53" t="n">
        <v>113.32</v>
      </c>
      <c r="H53" t="n">
        <v>68</v>
      </c>
      <c r="I53" t="n">
        <v>231</v>
      </c>
      <c r="J53" t="n">
        <v>32</v>
      </c>
      <c r="K53" t="n">
        <v>119.63</v>
      </c>
      <c r="L53" t="n">
        <v>66.28</v>
      </c>
      <c r="M53" t="n">
        <v>28.7</v>
      </c>
      <c r="N53" t="n">
        <v>137.03</v>
      </c>
      <c r="O53" t="n">
        <v>83.68000000000001</v>
      </c>
      <c r="P53" t="n">
        <v>36.2</v>
      </c>
      <c r="Q53" t="n">
        <v>70.28</v>
      </c>
      <c r="R53" t="n">
        <v>0</v>
      </c>
      <c r="S53" t="n">
        <v>45</v>
      </c>
      <c r="T53" t="n">
        <v>45</v>
      </c>
      <c r="U53" t="n">
        <v>0</v>
      </c>
      <c r="V53" t="n">
        <v>3163</v>
      </c>
      <c r="W53" t="n">
        <v>3163</v>
      </c>
      <c r="X53" t="inlineStr">
        <is>
          <t>yes</t>
        </is>
      </c>
      <c r="Y53" t="inlineStr"/>
    </row>
    <row r="54">
      <c r="A54" t="inlineStr">
        <is>
          <t>Chole Kachori Chaat</t>
        </is>
      </c>
      <c r="B54" t="inlineStr">
        <is>
          <t>Chaat Wala</t>
        </is>
      </c>
      <c r="C54" t="inlineStr">
        <is>
          <t>Deep-fry</t>
        </is>
      </c>
      <c r="D54" t="n">
        <v>21.45</v>
      </c>
      <c r="E54" t="n">
        <v>70</v>
      </c>
      <c r="F54" t="n">
        <v>66.67</v>
      </c>
      <c r="G54" t="n">
        <v>45.22</v>
      </c>
      <c r="H54" t="n">
        <v>67.8</v>
      </c>
      <c r="I54" t="n">
        <v>119</v>
      </c>
      <c r="J54" t="n">
        <v>70</v>
      </c>
      <c r="K54" t="n">
        <v>61.63</v>
      </c>
      <c r="L54" t="n">
        <v>40.18</v>
      </c>
      <c r="M54" t="n">
        <v>33.8</v>
      </c>
      <c r="N54" t="n">
        <v>70.59</v>
      </c>
      <c r="O54" t="n">
        <v>49.14</v>
      </c>
      <c r="P54" t="n">
        <v>41.3</v>
      </c>
      <c r="Q54" t="n">
        <v>42.24</v>
      </c>
      <c r="R54" t="n">
        <v>37</v>
      </c>
      <c r="S54" t="n">
        <v>35</v>
      </c>
      <c r="T54" t="n">
        <v>72</v>
      </c>
      <c r="U54" t="n">
        <v>1673</v>
      </c>
      <c r="V54" t="n">
        <v>1478</v>
      </c>
      <c r="W54" t="n">
        <v>3151</v>
      </c>
      <c r="X54" t="inlineStr"/>
      <c r="Y54" t="inlineStr"/>
    </row>
    <row r="55">
      <c r="A55" t="inlineStr">
        <is>
          <t>Special Lassi (500 Gms)</t>
        </is>
      </c>
      <c r="B55" t="inlineStr">
        <is>
          <t>Lassi</t>
        </is>
      </c>
      <c r="C55" t="inlineStr">
        <is>
          <t>Assembled</t>
        </is>
      </c>
      <c r="D55" t="n">
        <v>35.74</v>
      </c>
      <c r="E55" t="n">
        <v>120</v>
      </c>
      <c r="F55" t="n">
        <v>114.29</v>
      </c>
      <c r="G55" t="n">
        <v>78.55</v>
      </c>
      <c r="H55" t="n">
        <v>68.7</v>
      </c>
      <c r="I55" t="n">
        <v>172.47</v>
      </c>
      <c r="J55" t="n">
        <v>43.7</v>
      </c>
      <c r="K55" t="n">
        <v>89.31999999999999</v>
      </c>
      <c r="L55" t="n">
        <v>53.58</v>
      </c>
      <c r="M55" t="n">
        <v>31.1</v>
      </c>
      <c r="N55" t="n">
        <v>102.31</v>
      </c>
      <c r="O55" t="n">
        <v>66.56999999999999</v>
      </c>
      <c r="P55" t="n">
        <v>38.6</v>
      </c>
      <c r="Q55" t="n">
        <v>56.57</v>
      </c>
      <c r="R55" t="n">
        <v>26</v>
      </c>
      <c r="S55" t="n">
        <v>19</v>
      </c>
      <c r="T55" t="n">
        <v>45</v>
      </c>
      <c r="U55" t="n">
        <v>2042</v>
      </c>
      <c r="V55" t="n">
        <v>1075</v>
      </c>
      <c r="W55" t="n">
        <v>3117</v>
      </c>
      <c r="X55" t="inlineStr"/>
      <c r="Y55" t="inlineStr"/>
    </row>
    <row r="56">
      <c r="A56" t="inlineStr">
        <is>
          <t>Kala Jamun (1kg)</t>
        </is>
      </c>
      <c r="B56" t="inlineStr">
        <is>
          <t>Mithai</t>
        </is>
      </c>
      <c r="C56" t="inlineStr">
        <is>
          <t>Deep-fry</t>
        </is>
      </c>
      <c r="D56" t="n">
        <v>12.22</v>
      </c>
      <c r="E56" t="n">
        <v>761.9</v>
      </c>
      <c r="F56" t="n">
        <v>725.62</v>
      </c>
      <c r="G56" t="n">
        <v>713.4</v>
      </c>
      <c r="H56" t="n">
        <v>98.3</v>
      </c>
      <c r="I56" t="n">
        <v>1011</v>
      </c>
      <c r="J56" t="n">
        <v>32.7</v>
      </c>
      <c r="K56" t="n">
        <v>523.55</v>
      </c>
      <c r="L56" t="n">
        <v>511.33</v>
      </c>
      <c r="M56" t="n">
        <v>50.6</v>
      </c>
      <c r="N56" t="n">
        <v>599.73</v>
      </c>
      <c r="O56" t="n">
        <v>587.51</v>
      </c>
      <c r="P56" t="n">
        <v>58.1</v>
      </c>
      <c r="Q56" t="n">
        <v>528.85</v>
      </c>
      <c r="R56" t="n">
        <v>2</v>
      </c>
      <c r="S56" t="n">
        <v>2</v>
      </c>
      <c r="T56" t="n">
        <v>4</v>
      </c>
      <c r="U56" t="n">
        <v>1784</v>
      </c>
      <c r="V56" t="n">
        <v>1058</v>
      </c>
      <c r="W56" t="n">
        <v>2842</v>
      </c>
      <c r="X56" t="inlineStr"/>
      <c r="Y56" t="inlineStr"/>
    </row>
    <row r="57">
      <c r="A57" t="inlineStr">
        <is>
          <t>Spl Kesar Rabdi (250 Gms)</t>
        </is>
      </c>
      <c r="B57" t="inlineStr">
        <is>
          <t>Mithai</t>
        </is>
      </c>
      <c r="C57" t="inlineStr">
        <is>
          <t>Milk-reduce</t>
        </is>
      </c>
      <c r="D57" t="n">
        <v>53.52</v>
      </c>
      <c r="E57" t="n">
        <v>200</v>
      </c>
      <c r="F57" t="n">
        <v>190.48</v>
      </c>
      <c r="G57" t="n">
        <v>136.95</v>
      </c>
      <c r="H57" t="n">
        <v>71.90000000000001</v>
      </c>
      <c r="I57" t="n">
        <v>232.22</v>
      </c>
      <c r="J57" t="n">
        <v>16.1</v>
      </c>
      <c r="K57" t="n">
        <v>120.26</v>
      </c>
      <c r="L57" t="n">
        <v>66.73</v>
      </c>
      <c r="M57" t="n">
        <v>28.7</v>
      </c>
      <c r="N57" t="n">
        <v>137.76</v>
      </c>
      <c r="O57" t="n">
        <v>84.23</v>
      </c>
      <c r="P57" t="n">
        <v>36.3</v>
      </c>
      <c r="Q57" t="n">
        <v>70.75</v>
      </c>
      <c r="R57" t="n">
        <v>0</v>
      </c>
      <c r="S57" t="n">
        <v>40</v>
      </c>
      <c r="T57" t="n">
        <v>40</v>
      </c>
      <c r="U57" t="n">
        <v>0</v>
      </c>
      <c r="V57" t="n">
        <v>2830</v>
      </c>
      <c r="W57" t="n">
        <v>2830</v>
      </c>
      <c r="X57" t="inlineStr">
        <is>
          <t>yes</t>
        </is>
      </c>
      <c r="Y57" t="inlineStr"/>
    </row>
    <row r="58">
      <c r="A58" t="inlineStr">
        <is>
          <t>Dal Khichdi</t>
        </is>
      </c>
      <c r="B58" t="inlineStr">
        <is>
          <t>Rice</t>
        </is>
      </c>
      <c r="C58" t="inlineStr">
        <is>
          <t>Simmer</t>
        </is>
      </c>
      <c r="D58" t="n">
        <v>39.35</v>
      </c>
      <c r="E58" t="n">
        <v>129</v>
      </c>
      <c r="F58" t="n">
        <v>122.86</v>
      </c>
      <c r="G58" t="n">
        <v>83.51000000000001</v>
      </c>
      <c r="H58" t="n">
        <v>68</v>
      </c>
      <c r="I58" t="n">
        <v>159</v>
      </c>
      <c r="J58" t="n">
        <v>23.3</v>
      </c>
      <c r="K58" t="n">
        <v>82.34</v>
      </c>
      <c r="L58" t="n">
        <v>42.99</v>
      </c>
      <c r="M58" t="n">
        <v>27</v>
      </c>
      <c r="N58" t="n">
        <v>94.31999999999999</v>
      </c>
      <c r="O58" t="n">
        <v>54.97</v>
      </c>
      <c r="P58" t="n">
        <v>34.6</v>
      </c>
      <c r="Q58" t="n">
        <v>45.75</v>
      </c>
      <c r="R58" t="n">
        <v>32</v>
      </c>
      <c r="S58" t="n">
        <v>0</v>
      </c>
      <c r="T58" t="n">
        <v>32</v>
      </c>
      <c r="U58" t="n">
        <v>2672</v>
      </c>
      <c r="V58" t="n">
        <v>0</v>
      </c>
      <c r="W58" t="n">
        <v>2672</v>
      </c>
      <c r="X58" t="inlineStr"/>
      <c r="Y58" t="inlineStr"/>
    </row>
    <row r="59">
      <c r="A59" t="inlineStr">
        <is>
          <t>Mix Paratha</t>
        </is>
      </c>
      <c r="B59" t="inlineStr">
        <is>
          <t>Parathe</t>
        </is>
      </c>
      <c r="C59" t="inlineStr">
        <is>
          <t>Tawa</t>
        </is>
      </c>
      <c r="D59" t="n">
        <v>18.31</v>
      </c>
      <c r="E59" t="n">
        <v>99</v>
      </c>
      <c r="F59" t="n">
        <v>94.29000000000001</v>
      </c>
      <c r="G59" t="n">
        <v>75.98</v>
      </c>
      <c r="H59" t="n">
        <v>80.59999999999999</v>
      </c>
      <c r="I59" t="n">
        <v>129</v>
      </c>
      <c r="J59" t="n">
        <v>30.3</v>
      </c>
      <c r="K59" t="n">
        <v>66.8</v>
      </c>
      <c r="L59" t="n">
        <v>48.49</v>
      </c>
      <c r="M59" t="n">
        <v>37.6</v>
      </c>
      <c r="N59" t="n">
        <v>76.52</v>
      </c>
      <c r="O59" t="n">
        <v>58.21</v>
      </c>
      <c r="P59" t="n">
        <v>45.1</v>
      </c>
      <c r="Q59" t="n">
        <v>50.73</v>
      </c>
      <c r="R59" t="n">
        <v>20</v>
      </c>
      <c r="S59" t="n">
        <v>21</v>
      </c>
      <c r="T59" t="n">
        <v>41</v>
      </c>
      <c r="U59" t="n">
        <v>1520</v>
      </c>
      <c r="V59" t="n">
        <v>1065</v>
      </c>
      <c r="W59" t="n">
        <v>2585</v>
      </c>
      <c r="X59" t="inlineStr"/>
      <c r="Y59" t="inlineStr"/>
    </row>
    <row r="60">
      <c r="A60" t="inlineStr">
        <is>
          <t>Dal Makhni</t>
        </is>
      </c>
      <c r="B60" t="inlineStr">
        <is>
          <t>Rice</t>
        </is>
      </c>
      <c r="C60" t="inlineStr">
        <is>
          <t>Simmer</t>
        </is>
      </c>
      <c r="D60" t="n">
        <v>37.3</v>
      </c>
      <c r="E60" t="n">
        <v>149</v>
      </c>
      <c r="F60" t="n">
        <v>141.9</v>
      </c>
      <c r="G60" t="n">
        <v>104.6</v>
      </c>
      <c r="H60" t="n">
        <v>73.7</v>
      </c>
      <c r="I60" t="n">
        <v>189</v>
      </c>
      <c r="J60" t="n">
        <v>26.8</v>
      </c>
      <c r="K60" t="n">
        <v>97.88</v>
      </c>
      <c r="L60" t="n">
        <v>60.58</v>
      </c>
      <c r="M60" t="n">
        <v>32.1</v>
      </c>
      <c r="N60" t="n">
        <v>112.11</v>
      </c>
      <c r="O60" t="n">
        <v>74.81</v>
      </c>
      <c r="P60" t="n">
        <v>39.6</v>
      </c>
      <c r="Q60" t="n">
        <v>63.85</v>
      </c>
      <c r="R60" t="n">
        <v>20</v>
      </c>
      <c r="S60" t="n">
        <v>6</v>
      </c>
      <c r="T60" t="n">
        <v>26</v>
      </c>
      <c r="U60" t="n">
        <v>2092</v>
      </c>
      <c r="V60" t="n">
        <v>383</v>
      </c>
      <c r="W60" t="n">
        <v>2475</v>
      </c>
      <c r="X60" t="inlineStr"/>
      <c r="Y60" t="inlineStr"/>
    </row>
    <row r="61">
      <c r="A61" t="inlineStr">
        <is>
          <t>Malpua (desi Ghee) (1 Kg)</t>
        </is>
      </c>
      <c r="B61" t="inlineStr">
        <is>
          <t>Mithai</t>
        </is>
      </c>
      <c r="C61" t="inlineStr">
        <is>
          <t>Deep-fry</t>
        </is>
      </c>
      <c r="D61" t="n">
        <v>131.2</v>
      </c>
      <c r="E61" t="n">
        <v>800</v>
      </c>
      <c r="F61" t="n">
        <v>761.9</v>
      </c>
      <c r="G61" t="n">
        <v>630.7</v>
      </c>
      <c r="H61" t="n">
        <v>82.8</v>
      </c>
      <c r="I61" t="n">
        <v>891</v>
      </c>
      <c r="J61" t="n">
        <v>11.4</v>
      </c>
      <c r="K61" t="n">
        <v>461.41</v>
      </c>
      <c r="L61" t="n">
        <v>330.21</v>
      </c>
      <c r="M61" t="n">
        <v>37.1</v>
      </c>
      <c r="N61" t="n">
        <v>528.54</v>
      </c>
      <c r="O61" t="n">
        <v>397.34</v>
      </c>
      <c r="P61" t="n">
        <v>44.6</v>
      </c>
      <c r="Q61" t="n">
        <v>345.65</v>
      </c>
      <c r="R61" t="n">
        <v>0</v>
      </c>
      <c r="S61" t="n">
        <v>7</v>
      </c>
      <c r="T61" t="n">
        <v>7</v>
      </c>
      <c r="U61" t="n">
        <v>0</v>
      </c>
      <c r="V61" t="n">
        <v>2420</v>
      </c>
      <c r="W61" t="n">
        <v>2420</v>
      </c>
      <c r="X61" t="inlineStr">
        <is>
          <t>yes</t>
        </is>
      </c>
      <c r="Y61" t="inlineStr"/>
    </row>
    <row r="62">
      <c r="A62" t="inlineStr">
        <is>
          <t>Butter Roti/chapati</t>
        </is>
      </c>
      <c r="B62" t="inlineStr">
        <is>
          <t>Roti</t>
        </is>
      </c>
      <c r="C62" t="inlineStr">
        <is>
          <t>Tawa</t>
        </is>
      </c>
      <c r="D62" t="n">
        <v>4.39</v>
      </c>
      <c r="E62" t="n">
        <v>25</v>
      </c>
      <c r="F62" t="n">
        <v>23.81</v>
      </c>
      <c r="G62" t="n">
        <v>19.42</v>
      </c>
      <c r="H62" t="n">
        <v>81.59999999999999</v>
      </c>
      <c r="R62" t="n">
        <v>124</v>
      </c>
      <c r="S62" t="n">
        <v>0</v>
      </c>
      <c r="T62" t="n">
        <v>124</v>
      </c>
      <c r="U62" t="n">
        <v>2408</v>
      </c>
      <c r="V62" t="n">
        <v>0</v>
      </c>
      <c r="W62" t="n">
        <v>2408</v>
      </c>
      <c r="X62" t="inlineStr"/>
      <c r="Y62" t="inlineStr"/>
    </row>
    <row r="63">
      <c r="A63" t="inlineStr">
        <is>
          <t>Kesar Rasmalai (500 Gms)</t>
        </is>
      </c>
      <c r="B63" t="inlineStr">
        <is>
          <t>Mithai</t>
        </is>
      </c>
      <c r="C63" t="inlineStr">
        <is>
          <t>Milk-reduce</t>
        </is>
      </c>
      <c r="D63" t="n">
        <v>106.7</v>
      </c>
      <c r="E63" t="n">
        <v>350</v>
      </c>
      <c r="F63" t="n">
        <v>333.33</v>
      </c>
      <c r="G63" t="n">
        <v>226.63</v>
      </c>
      <c r="H63" t="n">
        <v>68</v>
      </c>
      <c r="I63" t="n">
        <v>451</v>
      </c>
      <c r="J63" t="n">
        <v>28.9</v>
      </c>
      <c r="K63" t="n">
        <v>233.55</v>
      </c>
      <c r="L63" t="n">
        <v>126.85</v>
      </c>
      <c r="M63" t="n">
        <v>28.1</v>
      </c>
      <c r="N63" t="n">
        <v>267.53</v>
      </c>
      <c r="O63" t="n">
        <v>160.83</v>
      </c>
      <c r="P63" t="n">
        <v>35.7</v>
      </c>
      <c r="Q63" t="n">
        <v>134.67</v>
      </c>
      <c r="R63" t="n">
        <v>0</v>
      </c>
      <c r="S63" t="n">
        <v>17</v>
      </c>
      <c r="T63" t="n">
        <v>17</v>
      </c>
      <c r="U63" t="n">
        <v>0</v>
      </c>
      <c r="V63" t="n">
        <v>2289</v>
      </c>
      <c r="W63" t="n">
        <v>2289</v>
      </c>
      <c r="X63" t="inlineStr">
        <is>
          <t>yes</t>
        </is>
      </c>
      <c r="Y63" t="inlineStr"/>
    </row>
    <row r="64">
      <c r="A64" t="inlineStr">
        <is>
          <t>1 Plain Paratha + Dal Fry + Rice</t>
        </is>
      </c>
      <c r="B64" t="inlineStr">
        <is>
          <t>Parathe</t>
        </is>
      </c>
      <c r="C64" t="inlineStr">
        <is>
          <t>Tawa</t>
        </is>
      </c>
      <c r="D64" t="n">
        <v>9.43</v>
      </c>
      <c r="E64" t="n">
        <v>129</v>
      </c>
      <c r="F64" t="n">
        <v>122.86</v>
      </c>
      <c r="G64" t="n">
        <v>113.43</v>
      </c>
      <c r="H64" t="n">
        <v>92.3</v>
      </c>
      <c r="I64" t="n">
        <v>159</v>
      </c>
      <c r="J64" t="n">
        <v>23.3</v>
      </c>
      <c r="K64" t="n">
        <v>82.34</v>
      </c>
      <c r="L64" t="n">
        <v>72.91</v>
      </c>
      <c r="M64" t="n">
        <v>45.9</v>
      </c>
      <c r="N64" t="n">
        <v>94.31999999999999</v>
      </c>
      <c r="O64" t="n">
        <v>84.89</v>
      </c>
      <c r="P64" t="n">
        <v>53.4</v>
      </c>
      <c r="Q64" t="n">
        <v>75.67</v>
      </c>
      <c r="R64" t="n">
        <v>15</v>
      </c>
      <c r="S64" t="n">
        <v>7</v>
      </c>
      <c r="T64" t="n">
        <v>22</v>
      </c>
      <c r="U64" t="n">
        <v>1701</v>
      </c>
      <c r="V64" t="n">
        <v>530</v>
      </c>
      <c r="W64" t="n">
        <v>2231</v>
      </c>
      <c r="X64" t="inlineStr"/>
      <c r="Y64" t="inlineStr"/>
    </row>
    <row r="65">
      <c r="A65" t="inlineStr">
        <is>
          <t>Dal Makhni Rice/Dal Makhni Chawal</t>
        </is>
      </c>
      <c r="B65" t="inlineStr">
        <is>
          <t>Rice</t>
        </is>
      </c>
      <c r="C65" t="inlineStr">
        <is>
          <t>Simmer</t>
        </is>
      </c>
      <c r="D65" t="n">
        <v>37.3</v>
      </c>
      <c r="E65" t="n">
        <v>179</v>
      </c>
      <c r="F65" t="n">
        <v>170.48</v>
      </c>
      <c r="G65" t="n">
        <v>133.18</v>
      </c>
      <c r="H65" t="n">
        <v>78.09999999999999</v>
      </c>
      <c r="I65" t="n">
        <v>219</v>
      </c>
      <c r="J65" t="n">
        <v>22.3</v>
      </c>
      <c r="K65" t="n">
        <v>113.41</v>
      </c>
      <c r="L65" t="n">
        <v>76.11</v>
      </c>
      <c r="M65" t="n">
        <v>34.8</v>
      </c>
      <c r="N65" t="n">
        <v>129.91</v>
      </c>
      <c r="O65" t="n">
        <v>92.61</v>
      </c>
      <c r="P65" t="n">
        <v>42.3</v>
      </c>
      <c r="Q65" t="n">
        <v>79.91</v>
      </c>
      <c r="R65" t="n">
        <v>16</v>
      </c>
      <c r="S65" t="n">
        <v>0</v>
      </c>
      <c r="T65" t="n">
        <v>16</v>
      </c>
      <c r="U65" t="n">
        <v>2131</v>
      </c>
      <c r="V65" t="n">
        <v>0</v>
      </c>
      <c r="W65" t="n">
        <v>2131</v>
      </c>
      <c r="X65" t="inlineStr"/>
      <c r="Y65" t="inlineStr"/>
    </row>
    <row r="66">
      <c r="A66" t="inlineStr">
        <is>
          <t>Sooji Sev Poori 5 Psc</t>
        </is>
      </c>
      <c r="B66" t="inlineStr">
        <is>
          <t>Poori Wala</t>
        </is>
      </c>
      <c r="C66" t="inlineStr">
        <is>
          <t>Deep-fry</t>
        </is>
      </c>
      <c r="D66" t="n">
        <v>21.29</v>
      </c>
      <c r="E66" t="n">
        <v>60</v>
      </c>
      <c r="F66" t="n">
        <v>57.14</v>
      </c>
      <c r="G66" t="n">
        <v>35.85</v>
      </c>
      <c r="H66" t="n">
        <v>62.7</v>
      </c>
      <c r="R66" t="n">
        <v>59</v>
      </c>
      <c r="S66" t="n">
        <v>0</v>
      </c>
      <c r="T66" t="n">
        <v>59</v>
      </c>
      <c r="U66" t="n">
        <v>2115</v>
      </c>
      <c r="V66" t="n">
        <v>0</v>
      </c>
      <c r="W66" t="n">
        <v>2115</v>
      </c>
      <c r="X66" t="inlineStr"/>
      <c r="Y66" t="inlineStr"/>
    </row>
    <row r="67">
      <c r="A67" t="inlineStr">
        <is>
          <t>Chole</t>
        </is>
      </c>
      <c r="B67" t="inlineStr">
        <is>
          <t>Chaat Wala</t>
        </is>
      </c>
      <c r="C67" t="inlineStr">
        <is>
          <t>Deep-fry</t>
        </is>
      </c>
      <c r="D67" t="n">
        <v>21.45</v>
      </c>
      <c r="E67" t="n">
        <v>119</v>
      </c>
      <c r="F67" t="n">
        <v>113.33</v>
      </c>
      <c r="G67" t="n">
        <v>91.88</v>
      </c>
      <c r="H67" t="n">
        <v>81.09999999999999</v>
      </c>
      <c r="I67" t="n">
        <v>149</v>
      </c>
      <c r="J67" t="n">
        <v>25.2</v>
      </c>
      <c r="K67" t="n">
        <v>77.16</v>
      </c>
      <c r="L67" t="n">
        <v>55.71</v>
      </c>
      <c r="M67" t="n">
        <v>37.4</v>
      </c>
      <c r="N67" t="n">
        <v>88.39</v>
      </c>
      <c r="O67" t="n">
        <v>66.94</v>
      </c>
      <c r="P67" t="n">
        <v>44.9</v>
      </c>
      <c r="Q67" t="n">
        <v>58.29</v>
      </c>
      <c r="R67" t="n">
        <v>12</v>
      </c>
      <c r="S67" t="n">
        <v>17</v>
      </c>
      <c r="T67" t="n">
        <v>29</v>
      </c>
      <c r="U67" t="n">
        <v>1103</v>
      </c>
      <c r="V67" t="n">
        <v>991</v>
      </c>
      <c r="W67" t="n">
        <v>2094</v>
      </c>
      <c r="X67" t="inlineStr"/>
      <c r="Y67" t="inlineStr"/>
    </row>
    <row r="68">
      <c r="A68" t="inlineStr">
        <is>
          <t>Jalebi Desi Ghee (500 Gms)</t>
        </is>
      </c>
      <c r="B68" t="inlineStr">
        <is>
          <t>Mithai</t>
        </is>
      </c>
      <c r="C68" t="inlineStr">
        <is>
          <t>Deep-fry</t>
        </is>
      </c>
      <c r="D68" t="n">
        <v>84.75</v>
      </c>
      <c r="E68" t="n">
        <v>300</v>
      </c>
      <c r="F68" t="n">
        <v>285.71</v>
      </c>
      <c r="G68" t="n">
        <v>200.96</v>
      </c>
      <c r="H68" t="n">
        <v>70.3</v>
      </c>
      <c r="I68" t="n">
        <v>350</v>
      </c>
      <c r="J68" t="n">
        <v>16.7</v>
      </c>
      <c r="K68" t="n">
        <v>181.25</v>
      </c>
      <c r="L68" t="n">
        <v>96.5</v>
      </c>
      <c r="M68" t="n">
        <v>27.6</v>
      </c>
      <c r="N68" t="n">
        <v>207.62</v>
      </c>
      <c r="O68" t="n">
        <v>122.87</v>
      </c>
      <c r="P68" t="n">
        <v>35.1</v>
      </c>
      <c r="Q68" t="n">
        <v>102.57</v>
      </c>
      <c r="R68" t="n">
        <v>0</v>
      </c>
      <c r="S68" t="n">
        <v>20</v>
      </c>
      <c r="T68" t="n">
        <v>20</v>
      </c>
      <c r="U68" t="n">
        <v>0</v>
      </c>
      <c r="V68" t="n">
        <v>2051</v>
      </c>
      <c r="W68" t="n">
        <v>2051</v>
      </c>
      <c r="X68" t="inlineStr">
        <is>
          <t>yes</t>
        </is>
      </c>
      <c r="Y68" t="inlineStr"/>
    </row>
    <row r="69">
      <c r="A69" s="42" t="inlineStr">
        <is>
          <t>Mathura Ka Peda (250 Gms)</t>
        </is>
      </c>
      <c r="B69" s="42" t="inlineStr">
        <is>
          <t>Mithai</t>
        </is>
      </c>
      <c r="C69" s="42" t="inlineStr">
        <is>
          <t>Milk-reduce</t>
        </is>
      </c>
      <c r="D69" s="42" t="n">
        <v>74.94</v>
      </c>
      <c r="E69" s="42" t="n">
        <v>175</v>
      </c>
      <c r="F69" s="42" t="n">
        <v>166.67</v>
      </c>
      <c r="G69" s="42" t="n">
        <v>91.73</v>
      </c>
      <c r="H69" s="42" t="n">
        <v>55</v>
      </c>
      <c r="I69" s="42" t="n">
        <v>242.5</v>
      </c>
      <c r="J69" s="42" t="n">
        <v>38.6</v>
      </c>
      <c r="K69" s="42" t="n">
        <v>125.58</v>
      </c>
      <c r="L69" s="42" t="n">
        <v>50.64</v>
      </c>
      <c r="M69" s="42" t="n">
        <v>20.9</v>
      </c>
      <c r="N69" s="42" t="n">
        <v>143.85</v>
      </c>
      <c r="O69" s="42" t="n">
        <v>68.91</v>
      </c>
      <c r="P69" s="42" t="n">
        <v>28.4</v>
      </c>
      <c r="Q69" s="42" t="n">
        <v>54.84</v>
      </c>
      <c r="R69" s="42" t="n">
        <v>0</v>
      </c>
      <c r="S69" s="42" t="n">
        <v>36</v>
      </c>
      <c r="T69" s="42" t="n">
        <v>36</v>
      </c>
      <c r="U69" s="42" t="n">
        <v>0</v>
      </c>
      <c r="V69" s="42" t="n">
        <v>1974</v>
      </c>
      <c r="W69" s="42" t="n">
        <v>1974</v>
      </c>
      <c r="X69" s="42" t="inlineStr">
        <is>
          <t>yes</t>
        </is>
      </c>
      <c r="Y69" s="42" t="inlineStr"/>
    </row>
    <row r="70">
      <c r="A70" t="inlineStr">
        <is>
          <t>Dal Fry Rice/Dal Fry Chawal</t>
        </is>
      </c>
      <c r="B70" t="inlineStr">
        <is>
          <t>Rice</t>
        </is>
      </c>
      <c r="C70" t="inlineStr">
        <is>
          <t>Simmer</t>
        </is>
      </c>
      <c r="D70" t="n">
        <v>34.15</v>
      </c>
      <c r="E70" t="n">
        <v>129</v>
      </c>
      <c r="F70" t="n">
        <v>122.86</v>
      </c>
      <c r="G70" t="n">
        <v>88.70999999999999</v>
      </c>
      <c r="H70" t="n">
        <v>72.2</v>
      </c>
      <c r="I70" t="n">
        <v>159</v>
      </c>
      <c r="J70" t="n">
        <v>23.3</v>
      </c>
      <c r="K70" t="n">
        <v>82.34</v>
      </c>
      <c r="L70" t="n">
        <v>48.19</v>
      </c>
      <c r="M70" t="n">
        <v>30.3</v>
      </c>
      <c r="N70" t="n">
        <v>94.31999999999999</v>
      </c>
      <c r="O70" t="n">
        <v>60.17</v>
      </c>
      <c r="P70" t="n">
        <v>37.8</v>
      </c>
      <c r="Q70" t="n">
        <v>50.95</v>
      </c>
      <c r="R70" t="n">
        <v>22</v>
      </c>
      <c r="S70" t="n">
        <v>0</v>
      </c>
      <c r="T70" t="n">
        <v>22</v>
      </c>
      <c r="U70" t="n">
        <v>1952</v>
      </c>
      <c r="V70" t="n">
        <v>0</v>
      </c>
      <c r="W70" t="n">
        <v>1952</v>
      </c>
      <c r="X70" t="inlineStr"/>
      <c r="Y70" t="inlineStr"/>
    </row>
    <row r="71">
      <c r="A71" t="inlineStr">
        <is>
          <t>Methi Paratha</t>
        </is>
      </c>
      <c r="B71" t="inlineStr">
        <is>
          <t>Parathe</t>
        </is>
      </c>
      <c r="C71" t="inlineStr">
        <is>
          <t>Tawa</t>
        </is>
      </c>
      <c r="D71" t="n">
        <v>16.41</v>
      </c>
      <c r="E71" t="n">
        <v>99</v>
      </c>
      <c r="F71" t="n">
        <v>94.29000000000001</v>
      </c>
      <c r="G71" t="n">
        <v>77.88</v>
      </c>
      <c r="H71" t="n">
        <v>82.59999999999999</v>
      </c>
      <c r="I71" t="n">
        <v>129</v>
      </c>
      <c r="J71" t="n">
        <v>30.3</v>
      </c>
      <c r="K71" t="n">
        <v>66.8</v>
      </c>
      <c r="L71" t="n">
        <v>50.39</v>
      </c>
      <c r="M71" t="n">
        <v>39.1</v>
      </c>
      <c r="N71" t="n">
        <v>76.52</v>
      </c>
      <c r="O71" t="n">
        <v>60.11</v>
      </c>
      <c r="P71" t="n">
        <v>46.6</v>
      </c>
      <c r="Q71" t="n">
        <v>52.63</v>
      </c>
      <c r="R71" t="n">
        <v>14</v>
      </c>
      <c r="S71" t="n">
        <v>16</v>
      </c>
      <c r="T71" t="n">
        <v>30</v>
      </c>
      <c r="U71" t="n">
        <v>1090</v>
      </c>
      <c r="V71" t="n">
        <v>842</v>
      </c>
      <c r="W71" t="n">
        <v>1932</v>
      </c>
      <c r="X71" t="inlineStr"/>
      <c r="Y71" t="inlineStr"/>
    </row>
    <row r="72">
      <c r="A72" t="inlineStr">
        <is>
          <t>Falhari Aloo Chaat</t>
        </is>
      </c>
      <c r="B72" t="inlineStr">
        <is>
          <t>Chaat Wala</t>
        </is>
      </c>
      <c r="C72" t="inlineStr">
        <is>
          <t>Assembled</t>
        </is>
      </c>
      <c r="D72" t="n">
        <v>11.22</v>
      </c>
      <c r="E72" t="n">
        <v>80</v>
      </c>
      <c r="F72" t="n">
        <v>76.19</v>
      </c>
      <c r="G72" t="n">
        <v>64.97</v>
      </c>
      <c r="H72" t="n">
        <v>85.3</v>
      </c>
      <c r="I72" t="n">
        <v>129</v>
      </c>
      <c r="J72" t="n">
        <v>61.3</v>
      </c>
      <c r="K72" t="n">
        <v>66.8</v>
      </c>
      <c r="L72" t="n">
        <v>55.58</v>
      </c>
      <c r="M72" t="n">
        <v>43.1</v>
      </c>
      <c r="N72" t="n">
        <v>76.52</v>
      </c>
      <c r="O72" t="n">
        <v>65.3</v>
      </c>
      <c r="P72" t="n">
        <v>50.6</v>
      </c>
      <c r="Q72" t="n">
        <v>57.82</v>
      </c>
      <c r="R72" t="n">
        <v>26</v>
      </c>
      <c r="S72" t="n">
        <v>0</v>
      </c>
      <c r="T72" t="n">
        <v>26</v>
      </c>
      <c r="U72" t="n">
        <v>1689</v>
      </c>
      <c r="V72" t="n">
        <v>0</v>
      </c>
      <c r="W72" t="n">
        <v>1689</v>
      </c>
      <c r="X72" t="inlineStr"/>
      <c r="Y72" t="inlineStr"/>
    </row>
    <row r="73">
      <c r="A73" t="inlineStr">
        <is>
          <t>Paneer Paratha Meal</t>
        </is>
      </c>
      <c r="B73" t="inlineStr">
        <is>
          <t>Parathe</t>
        </is>
      </c>
      <c r="C73" t="inlineStr">
        <is>
          <t>Tawa</t>
        </is>
      </c>
      <c r="D73" t="n">
        <v>28.8</v>
      </c>
      <c r="I73" t="n">
        <v>249</v>
      </c>
      <c r="K73" t="n">
        <v>128.95</v>
      </c>
      <c r="L73" t="n">
        <v>100.15</v>
      </c>
      <c r="M73" t="n">
        <v>40.2</v>
      </c>
      <c r="N73" t="n">
        <v>147.71</v>
      </c>
      <c r="O73" t="n">
        <v>118.91</v>
      </c>
      <c r="P73" t="n">
        <v>47.8</v>
      </c>
      <c r="Q73" t="n">
        <v>104.46</v>
      </c>
      <c r="R73" t="n">
        <v>0</v>
      </c>
      <c r="S73" t="n">
        <v>16</v>
      </c>
      <c r="T73" t="n">
        <v>16</v>
      </c>
      <c r="U73" t="n">
        <v>0</v>
      </c>
      <c r="V73" t="n">
        <v>1671</v>
      </c>
      <c r="W73" t="n">
        <v>1671</v>
      </c>
      <c r="X73" t="inlineStr"/>
      <c r="Y73" t="inlineStr"/>
    </row>
    <row r="74">
      <c r="A74" t="inlineStr">
        <is>
          <t>Aloo Chaat.</t>
        </is>
      </c>
      <c r="B74" t="inlineStr">
        <is>
          <t>Chaat Wala</t>
        </is>
      </c>
      <c r="C74" t="inlineStr">
        <is>
          <t>Assembled</t>
        </is>
      </c>
      <c r="D74" t="n">
        <v>11.22</v>
      </c>
      <c r="E74" t="n">
        <v>73.33</v>
      </c>
      <c r="F74" t="n">
        <v>69.84</v>
      </c>
      <c r="G74" t="n">
        <v>58.62</v>
      </c>
      <c r="H74" t="n">
        <v>83.90000000000001</v>
      </c>
      <c r="I74" t="n">
        <v>119</v>
      </c>
      <c r="J74" t="n">
        <v>62.3</v>
      </c>
      <c r="K74" t="n">
        <v>61.63</v>
      </c>
      <c r="L74" t="n">
        <v>50.41</v>
      </c>
      <c r="M74" t="n">
        <v>42.4</v>
      </c>
      <c r="N74" t="n">
        <v>70.59</v>
      </c>
      <c r="O74" t="n">
        <v>59.37</v>
      </c>
      <c r="P74" t="n">
        <v>49.9</v>
      </c>
      <c r="Q74" t="n">
        <v>52.47</v>
      </c>
      <c r="R74" t="n">
        <v>28</v>
      </c>
      <c r="S74" t="n">
        <v>0</v>
      </c>
      <c r="T74" t="n">
        <v>28</v>
      </c>
      <c r="U74" t="n">
        <v>1641</v>
      </c>
      <c r="V74" t="n">
        <v>0</v>
      </c>
      <c r="W74" t="n">
        <v>1641</v>
      </c>
      <c r="X74" t="inlineStr"/>
      <c r="Y74" t="inlineStr"/>
    </row>
    <row r="75">
      <c r="A75" t="inlineStr">
        <is>
          <t>Dal Tadka Rice/Dal Tadka Chawal</t>
        </is>
      </c>
      <c r="B75" t="inlineStr">
        <is>
          <t>Rice</t>
        </is>
      </c>
      <c r="C75" t="inlineStr">
        <is>
          <t>Simmer</t>
        </is>
      </c>
      <c r="D75" t="n">
        <v>41.19</v>
      </c>
      <c r="E75" t="n">
        <v>149</v>
      </c>
      <c r="F75" t="n">
        <v>141.9</v>
      </c>
      <c r="G75" t="n">
        <v>100.71</v>
      </c>
      <c r="H75" t="n">
        <v>71</v>
      </c>
      <c r="I75" t="n">
        <v>179</v>
      </c>
      <c r="J75" t="n">
        <v>20.1</v>
      </c>
      <c r="K75" t="n">
        <v>92.7</v>
      </c>
      <c r="L75" t="n">
        <v>51.51</v>
      </c>
      <c r="M75" t="n">
        <v>28.8</v>
      </c>
      <c r="N75" t="n">
        <v>106.18</v>
      </c>
      <c r="O75" t="n">
        <v>64.98999999999999</v>
      </c>
      <c r="P75" t="n">
        <v>36.3</v>
      </c>
      <c r="Q75" t="n">
        <v>54.61</v>
      </c>
      <c r="R75" t="n">
        <v>16</v>
      </c>
      <c r="S75" t="n">
        <v>0</v>
      </c>
      <c r="T75" t="n">
        <v>16</v>
      </c>
      <c r="U75" t="n">
        <v>1611</v>
      </c>
      <c r="V75" t="n">
        <v>0</v>
      </c>
      <c r="W75" t="n">
        <v>1611</v>
      </c>
      <c r="X75" t="inlineStr"/>
      <c r="Y75" t="inlineStr"/>
    </row>
    <row r="76">
      <c r="A76" t="inlineStr">
        <is>
          <t>Kala Jamun (500 Gms)</t>
        </is>
      </c>
      <c r="B76" t="inlineStr">
        <is>
          <t>Mithai</t>
        </is>
      </c>
      <c r="C76" t="inlineStr">
        <is>
          <t>Deep-fry</t>
        </is>
      </c>
      <c r="D76" t="n">
        <v>12.22</v>
      </c>
      <c r="I76" t="n">
        <v>511</v>
      </c>
      <c r="K76" t="n">
        <v>264.63</v>
      </c>
      <c r="L76" t="n">
        <v>252.41</v>
      </c>
      <c r="M76" t="n">
        <v>49.4</v>
      </c>
      <c r="N76" t="n">
        <v>303.13</v>
      </c>
      <c r="O76" t="n">
        <v>290.91</v>
      </c>
      <c r="P76" t="n">
        <v>56.9</v>
      </c>
      <c r="Q76" t="n">
        <v>261.26</v>
      </c>
      <c r="R76" t="n">
        <v>0</v>
      </c>
      <c r="S76" t="n">
        <v>6</v>
      </c>
      <c r="T76" t="n">
        <v>6</v>
      </c>
      <c r="U76" t="n">
        <v>0</v>
      </c>
      <c r="V76" t="n">
        <v>1568</v>
      </c>
      <c r="W76" t="n">
        <v>1568</v>
      </c>
      <c r="X76" t="inlineStr"/>
      <c r="Y76" t="inlineStr"/>
    </row>
    <row r="77">
      <c r="A77" t="inlineStr">
        <is>
          <t>Moong Dal Halwa (desi Ghee) (250 Gms)</t>
        </is>
      </c>
      <c r="B77" t="inlineStr">
        <is>
          <t>Halwa</t>
        </is>
      </c>
      <c r="C77" t="inlineStr">
        <is>
          <t>Milk-reduce</t>
        </is>
      </c>
      <c r="D77" t="n">
        <v>40.23</v>
      </c>
      <c r="E77" t="n">
        <v>225</v>
      </c>
      <c r="F77" t="n">
        <v>214.29</v>
      </c>
      <c r="G77" t="n">
        <v>174.06</v>
      </c>
      <c r="H77" t="n">
        <v>81.2</v>
      </c>
      <c r="I77" t="n">
        <v>281</v>
      </c>
      <c r="J77" t="n">
        <v>24.9</v>
      </c>
      <c r="K77" t="n">
        <v>145.52</v>
      </c>
      <c r="L77" t="n">
        <v>105.29</v>
      </c>
      <c r="M77" t="n">
        <v>37.5</v>
      </c>
      <c r="N77" t="n">
        <v>166.69</v>
      </c>
      <c r="O77" t="n">
        <v>126.46</v>
      </c>
      <c r="P77" t="n">
        <v>45</v>
      </c>
      <c r="Q77" t="n">
        <v>110.16</v>
      </c>
      <c r="R77" t="n">
        <v>0</v>
      </c>
      <c r="S77" t="n">
        <v>13</v>
      </c>
      <c r="T77" t="n">
        <v>13</v>
      </c>
      <c r="U77" t="n">
        <v>0</v>
      </c>
      <c r="V77" t="n">
        <v>1432</v>
      </c>
      <c r="W77" t="n">
        <v>1432</v>
      </c>
      <c r="X77" t="inlineStr">
        <is>
          <t>yes</t>
        </is>
      </c>
      <c r="Y77" t="inlineStr"/>
    </row>
    <row r="78">
      <c r="A78" t="inlineStr">
        <is>
          <t>Atta Spdp -5 Pcs</t>
        </is>
      </c>
      <c r="B78" t="inlineStr">
        <is>
          <t>Poori Wala</t>
        </is>
      </c>
      <c r="C78" t="inlineStr">
        <is>
          <t>Assembled</t>
        </is>
      </c>
      <c r="D78" t="n">
        <v>13.89</v>
      </c>
      <c r="E78" t="n">
        <v>70</v>
      </c>
      <c r="F78" t="n">
        <v>66.67</v>
      </c>
      <c r="G78" t="n">
        <v>52.78</v>
      </c>
      <c r="H78" t="n">
        <v>79.2</v>
      </c>
      <c r="R78" t="n">
        <v>27</v>
      </c>
      <c r="S78" t="n">
        <v>0</v>
      </c>
      <c r="T78" t="n">
        <v>27</v>
      </c>
      <c r="U78" t="n">
        <v>1425</v>
      </c>
      <c r="V78" t="n">
        <v>0</v>
      </c>
      <c r="W78" t="n">
        <v>1425</v>
      </c>
      <c r="X78" t="inlineStr"/>
      <c r="Y78" t="inlineStr"/>
    </row>
    <row r="79">
      <c r="A79" t="inlineStr">
        <is>
          <t>Spl Kesar Rabdi (500 Gms)</t>
        </is>
      </c>
      <c r="B79" t="inlineStr">
        <is>
          <t>Mithai</t>
        </is>
      </c>
      <c r="C79" t="inlineStr">
        <is>
          <t>Milk-reduce</t>
        </is>
      </c>
      <c r="D79" t="n">
        <v>107.05</v>
      </c>
      <c r="E79" t="n">
        <v>400</v>
      </c>
      <c r="F79" t="n">
        <v>380.95</v>
      </c>
      <c r="G79" t="n">
        <v>273.9</v>
      </c>
      <c r="H79" t="n">
        <v>71.90000000000001</v>
      </c>
      <c r="I79" t="n">
        <v>451</v>
      </c>
      <c r="J79" t="n">
        <v>12.7</v>
      </c>
      <c r="K79" t="n">
        <v>233.55</v>
      </c>
      <c r="L79" t="n">
        <v>126.5</v>
      </c>
      <c r="M79" t="n">
        <v>28</v>
      </c>
      <c r="N79" t="n">
        <v>267.53</v>
      </c>
      <c r="O79" t="n">
        <v>160.48</v>
      </c>
      <c r="P79" t="n">
        <v>35.6</v>
      </c>
      <c r="Q79" t="n">
        <v>134.32</v>
      </c>
      <c r="R79" t="n">
        <v>0</v>
      </c>
      <c r="S79" t="n">
        <v>10</v>
      </c>
      <c r="T79" t="n">
        <v>10</v>
      </c>
      <c r="U79" t="n">
        <v>0</v>
      </c>
      <c r="V79" t="n">
        <v>1343</v>
      </c>
      <c r="W79" t="n">
        <v>1343</v>
      </c>
      <c r="X79" t="inlineStr">
        <is>
          <t>yes</t>
        </is>
      </c>
      <c r="Y79" t="inlineStr"/>
    </row>
    <row r="80">
      <c r="A80" t="inlineStr">
        <is>
          <t>Kesar Rasmalai (1 Kg)</t>
        </is>
      </c>
      <c r="B80" t="inlineStr">
        <is>
          <t>Mithai</t>
        </is>
      </c>
      <c r="C80" t="inlineStr">
        <is>
          <t>Milk-reduce</t>
        </is>
      </c>
      <c r="D80" t="n">
        <v>213.4</v>
      </c>
      <c r="E80" t="n">
        <v>700</v>
      </c>
      <c r="F80" t="n">
        <v>666.67</v>
      </c>
      <c r="G80" t="n">
        <v>453.27</v>
      </c>
      <c r="H80" t="n">
        <v>68</v>
      </c>
      <c r="I80" t="n">
        <v>891</v>
      </c>
      <c r="J80" t="n">
        <v>27.3</v>
      </c>
      <c r="K80" t="n">
        <v>461.41</v>
      </c>
      <c r="L80" t="n">
        <v>248.01</v>
      </c>
      <c r="M80" t="n">
        <v>27.8</v>
      </c>
      <c r="N80" t="n">
        <v>528.54</v>
      </c>
      <c r="O80" t="n">
        <v>315.14</v>
      </c>
      <c r="P80" t="n">
        <v>35.4</v>
      </c>
      <c r="Q80" t="n">
        <v>263.45</v>
      </c>
      <c r="R80" t="n">
        <v>0</v>
      </c>
      <c r="S80" t="n">
        <v>5</v>
      </c>
      <c r="T80" t="n">
        <v>5</v>
      </c>
      <c r="U80" t="n">
        <v>0</v>
      </c>
      <c r="V80" t="n">
        <v>1317</v>
      </c>
      <c r="W80" t="n">
        <v>1317</v>
      </c>
      <c r="X80" t="inlineStr"/>
      <c r="Y80" t="inlineStr"/>
    </row>
    <row r="81">
      <c r="A81" t="inlineStr">
        <is>
          <t>Malpua (desi Ghee) (250 Gms)</t>
        </is>
      </c>
      <c r="B81" t="inlineStr">
        <is>
          <t>Mithai</t>
        </is>
      </c>
      <c r="C81" t="inlineStr">
        <is>
          <t>Deep-fry</t>
        </is>
      </c>
      <c r="D81" t="n">
        <v>32.8</v>
      </c>
      <c r="E81" t="n">
        <v>200</v>
      </c>
      <c r="F81" t="n">
        <v>190.48</v>
      </c>
      <c r="G81" t="n">
        <v>157.68</v>
      </c>
      <c r="H81" t="n">
        <v>82.8</v>
      </c>
      <c r="I81" t="n">
        <v>235.64</v>
      </c>
      <c r="J81" t="n">
        <v>17.8</v>
      </c>
      <c r="K81" t="n">
        <v>122.03</v>
      </c>
      <c r="L81" t="n">
        <v>89.23</v>
      </c>
      <c r="M81" t="n">
        <v>37.9</v>
      </c>
      <c r="N81" t="n">
        <v>139.78</v>
      </c>
      <c r="O81" t="n">
        <v>106.98</v>
      </c>
      <c r="P81" t="n">
        <v>45.4</v>
      </c>
      <c r="Q81" t="n">
        <v>93.31</v>
      </c>
      <c r="R81" t="n">
        <v>0</v>
      </c>
      <c r="S81" t="n">
        <v>14</v>
      </c>
      <c r="T81" t="n">
        <v>14</v>
      </c>
      <c r="U81" t="n">
        <v>0</v>
      </c>
      <c r="V81" t="n">
        <v>1306</v>
      </c>
      <c r="W81" t="n">
        <v>1306</v>
      </c>
      <c r="X81" t="inlineStr">
        <is>
          <t>yes</t>
        </is>
      </c>
      <c r="Y81" t="inlineStr"/>
    </row>
    <row r="82">
      <c r="A82" t="inlineStr">
        <is>
          <t>Plain Rice</t>
        </is>
      </c>
      <c r="B82" t="inlineStr">
        <is>
          <t>Rice</t>
        </is>
      </c>
      <c r="C82" t="inlineStr">
        <is>
          <t>Simmer</t>
        </is>
      </c>
      <c r="D82" t="n">
        <v>16.5</v>
      </c>
      <c r="E82" t="n">
        <v>79</v>
      </c>
      <c r="F82" t="n">
        <v>75.23999999999999</v>
      </c>
      <c r="G82" t="n">
        <v>58.74</v>
      </c>
      <c r="H82" t="n">
        <v>78.09999999999999</v>
      </c>
      <c r="I82" t="n">
        <v>99</v>
      </c>
      <c r="J82" t="n">
        <v>25.3</v>
      </c>
      <c r="K82" t="n">
        <v>51.27</v>
      </c>
      <c r="L82" t="n">
        <v>34.77</v>
      </c>
      <c r="M82" t="n">
        <v>35.1</v>
      </c>
      <c r="N82" t="n">
        <v>58.73</v>
      </c>
      <c r="O82" t="n">
        <v>42.23</v>
      </c>
      <c r="P82" t="n">
        <v>42.7</v>
      </c>
      <c r="Q82" t="n">
        <v>36.49</v>
      </c>
      <c r="R82" t="n">
        <v>22</v>
      </c>
      <c r="S82" t="n">
        <v>0</v>
      </c>
      <c r="T82" t="n">
        <v>22</v>
      </c>
      <c r="U82" t="n">
        <v>1292</v>
      </c>
      <c r="V82" t="n">
        <v>0</v>
      </c>
      <c r="W82" t="n">
        <v>1292</v>
      </c>
      <c r="X82" t="inlineStr"/>
      <c r="Y82" t="inlineStr"/>
    </row>
    <row r="83">
      <c r="A83" t="inlineStr">
        <is>
          <t>Masala Chaas (250 Ml)</t>
        </is>
      </c>
      <c r="B83" t="inlineStr">
        <is>
          <t>Lassi</t>
        </is>
      </c>
      <c r="C83" t="inlineStr">
        <is>
          <t>Assembled</t>
        </is>
      </c>
      <c r="D83" t="n">
        <v>8</v>
      </c>
      <c r="E83" t="n">
        <v>45</v>
      </c>
      <c r="F83" t="n">
        <v>42.86</v>
      </c>
      <c r="G83" t="n">
        <v>34.86</v>
      </c>
      <c r="H83" t="n">
        <v>81.3</v>
      </c>
      <c r="R83" t="n">
        <v>37</v>
      </c>
      <c r="S83" t="n">
        <v>0</v>
      </c>
      <c r="T83" t="n">
        <v>37</v>
      </c>
      <c r="U83" t="n">
        <v>1290</v>
      </c>
      <c r="V83" t="n">
        <v>0</v>
      </c>
      <c r="W83" t="n">
        <v>1290</v>
      </c>
      <c r="X83" t="inlineStr"/>
      <c r="Y83" t="inlineStr"/>
    </row>
    <row r="84">
      <c r="A84" t="inlineStr">
        <is>
          <t>Chole Bhature Wala Bhojan</t>
        </is>
      </c>
      <c r="B84" t="inlineStr">
        <is>
          <t>Chole Wala</t>
        </is>
      </c>
      <c r="C84" t="inlineStr">
        <is>
          <t>Simmer</t>
        </is>
      </c>
      <c r="D84" t="n">
        <v>33.23</v>
      </c>
      <c r="E84" t="n">
        <v>150</v>
      </c>
      <c r="F84" t="n">
        <v>142.86</v>
      </c>
      <c r="G84" t="n">
        <v>109.63</v>
      </c>
      <c r="H84" t="n">
        <v>76.7</v>
      </c>
      <c r="I84" t="n">
        <v>189</v>
      </c>
      <c r="J84" t="n">
        <v>26</v>
      </c>
      <c r="K84" t="n">
        <v>97.88</v>
      </c>
      <c r="L84" t="n">
        <v>64.65000000000001</v>
      </c>
      <c r="M84" t="n">
        <v>34.2</v>
      </c>
      <c r="N84" t="n">
        <v>112.11</v>
      </c>
      <c r="O84" t="n">
        <v>78.88</v>
      </c>
      <c r="P84" t="n">
        <v>41.7</v>
      </c>
      <c r="Q84" t="n">
        <v>67.92</v>
      </c>
      <c r="R84" t="n">
        <v>11</v>
      </c>
      <c r="S84" t="n">
        <v>0</v>
      </c>
      <c r="T84" t="n">
        <v>11</v>
      </c>
      <c r="U84" t="n">
        <v>1206</v>
      </c>
      <c r="V84" t="n">
        <v>0</v>
      </c>
      <c r="W84" t="n">
        <v>1206</v>
      </c>
      <c r="X84" t="inlineStr"/>
      <c r="Y84" t="inlineStr"/>
    </row>
    <row r="85">
      <c r="A85" t="inlineStr">
        <is>
          <t>1 Paneer Paratha + Chole/Rajma/Dal/Dal Makhni + Rice</t>
        </is>
      </c>
      <c r="B85" t="inlineStr">
        <is>
          <t>Parathe</t>
        </is>
      </c>
      <c r="C85" t="inlineStr">
        <is>
          <t>Tawa</t>
        </is>
      </c>
      <c r="D85" t="n">
        <v>28.8</v>
      </c>
      <c r="E85" t="n">
        <v>199</v>
      </c>
      <c r="F85" t="n">
        <v>189.52</v>
      </c>
      <c r="G85" t="n">
        <v>160.72</v>
      </c>
      <c r="H85" t="n">
        <v>84.8</v>
      </c>
      <c r="R85" t="n">
        <v>7</v>
      </c>
      <c r="S85" t="n">
        <v>0</v>
      </c>
      <c r="T85" t="n">
        <v>7</v>
      </c>
      <c r="U85" t="n">
        <v>1125</v>
      </c>
      <c r="V85" t="n">
        <v>0</v>
      </c>
      <c r="W85" t="n">
        <v>1125</v>
      </c>
      <c r="X85" t="inlineStr"/>
      <c r="Y85" t="inlineStr"/>
    </row>
    <row r="86">
      <c r="A86" t="inlineStr">
        <is>
          <t>Plain Paratha</t>
        </is>
      </c>
      <c r="B86" t="inlineStr">
        <is>
          <t>Parathe</t>
        </is>
      </c>
      <c r="C86" t="inlineStr">
        <is>
          <t>Tawa</t>
        </is>
      </c>
      <c r="D86" t="n">
        <v>9.43</v>
      </c>
      <c r="E86" t="n">
        <v>40</v>
      </c>
      <c r="F86" t="n">
        <v>38.1</v>
      </c>
      <c r="G86" t="n">
        <v>28.67</v>
      </c>
      <c r="H86" t="n">
        <v>75.2</v>
      </c>
      <c r="I86" t="n">
        <v>49</v>
      </c>
      <c r="J86" t="n">
        <v>22.5</v>
      </c>
      <c r="K86" t="n">
        <v>25.38</v>
      </c>
      <c r="L86" t="n">
        <v>15.95</v>
      </c>
      <c r="M86" t="n">
        <v>32.5</v>
      </c>
      <c r="N86" t="n">
        <v>29.07</v>
      </c>
      <c r="O86" t="n">
        <v>19.64</v>
      </c>
      <c r="P86" t="n">
        <v>40.1</v>
      </c>
      <c r="Q86" t="n">
        <v>16.8</v>
      </c>
      <c r="R86" t="n">
        <v>28</v>
      </c>
      <c r="S86" t="n">
        <v>15</v>
      </c>
      <c r="T86" t="n">
        <v>43</v>
      </c>
      <c r="U86" t="n">
        <v>803</v>
      </c>
      <c r="V86" t="n">
        <v>252</v>
      </c>
      <c r="W86" t="n">
        <v>1055</v>
      </c>
      <c r="X86" t="inlineStr"/>
      <c r="Y86" t="inlineStr"/>
    </row>
    <row r="87">
      <c r="A87" t="inlineStr">
        <is>
          <t>Dal Khichdi Tadka</t>
        </is>
      </c>
      <c r="B87" t="inlineStr">
        <is>
          <t>Rice</t>
        </is>
      </c>
      <c r="C87" t="inlineStr">
        <is>
          <t>Simmer</t>
        </is>
      </c>
      <c r="D87" t="n">
        <v>46.39</v>
      </c>
      <c r="E87" t="n">
        <v>149</v>
      </c>
      <c r="F87" t="n">
        <v>141.9</v>
      </c>
      <c r="G87" t="n">
        <v>95.51000000000001</v>
      </c>
      <c r="H87" t="n">
        <v>67.3</v>
      </c>
      <c r="I87" t="n">
        <v>179</v>
      </c>
      <c r="J87" t="n">
        <v>20.1</v>
      </c>
      <c r="K87" t="n">
        <v>92.7</v>
      </c>
      <c r="L87" t="n">
        <v>46.31</v>
      </c>
      <c r="M87" t="n">
        <v>25.9</v>
      </c>
      <c r="N87" t="n">
        <v>106.18</v>
      </c>
      <c r="O87" t="n">
        <v>59.79</v>
      </c>
      <c r="P87" t="n">
        <v>33.4</v>
      </c>
      <c r="Q87" t="n">
        <v>49.41</v>
      </c>
      <c r="R87" t="n">
        <v>11</v>
      </c>
      <c r="S87" t="n">
        <v>0</v>
      </c>
      <c r="T87" t="n">
        <v>11</v>
      </c>
      <c r="U87" t="n">
        <v>1051</v>
      </c>
      <c r="V87" t="n">
        <v>0</v>
      </c>
      <c r="W87" t="n">
        <v>1051</v>
      </c>
      <c r="X87" t="inlineStr"/>
      <c r="Y87" t="inlineStr"/>
    </row>
    <row r="88">
      <c r="A88" t="inlineStr">
        <is>
          <t>Moong Dal Halwa (desi Ghee) (500 Gms)</t>
        </is>
      </c>
      <c r="B88" t="inlineStr">
        <is>
          <t>Halwa</t>
        </is>
      </c>
      <c r="C88" t="inlineStr">
        <is>
          <t>Milk-reduce</t>
        </is>
      </c>
      <c r="D88" t="n">
        <v>80.45</v>
      </c>
      <c r="E88" t="n">
        <v>450</v>
      </c>
      <c r="F88" t="n">
        <v>428.57</v>
      </c>
      <c r="G88" t="n">
        <v>348.12</v>
      </c>
      <c r="H88" t="n">
        <v>81.2</v>
      </c>
      <c r="I88" t="n">
        <v>541</v>
      </c>
      <c r="J88" t="n">
        <v>20.2</v>
      </c>
      <c r="K88" t="n">
        <v>280.16</v>
      </c>
      <c r="L88" t="n">
        <v>199.71</v>
      </c>
      <c r="M88" t="n">
        <v>36.9</v>
      </c>
      <c r="N88" t="n">
        <v>320.92</v>
      </c>
      <c r="O88" t="n">
        <v>240.47</v>
      </c>
      <c r="P88" t="n">
        <v>44.4</v>
      </c>
      <c r="Q88" t="n">
        <v>209.08</v>
      </c>
      <c r="R88" t="n">
        <v>0</v>
      </c>
      <c r="S88" t="n">
        <v>5</v>
      </c>
      <c r="T88" t="n">
        <v>5</v>
      </c>
      <c r="U88" t="n">
        <v>0</v>
      </c>
      <c r="V88" t="n">
        <v>1045</v>
      </c>
      <c r="W88" t="n">
        <v>1045</v>
      </c>
      <c r="X88" t="inlineStr">
        <is>
          <t>yes</t>
        </is>
      </c>
      <c r="Y88" t="inlineStr"/>
    </row>
    <row r="89">
      <c r="A89" s="42" t="inlineStr">
        <is>
          <t>Mathura Ka Peda (500 Gms)</t>
        </is>
      </c>
      <c r="B89" s="42" t="inlineStr">
        <is>
          <t>Mithai</t>
        </is>
      </c>
      <c r="C89" s="42" t="inlineStr">
        <is>
          <t>Milk-reduce</t>
        </is>
      </c>
      <c r="D89" s="42" t="n">
        <v>149.88</v>
      </c>
      <c r="E89" s="42" t="n">
        <v>350</v>
      </c>
      <c r="F89" s="42" t="n">
        <v>333.33</v>
      </c>
      <c r="G89" s="42" t="n">
        <v>183.45</v>
      </c>
      <c r="H89" s="42" t="n">
        <v>55</v>
      </c>
      <c r="I89" s="42" t="n">
        <v>471</v>
      </c>
      <c r="J89" s="42" t="n">
        <v>34.6</v>
      </c>
      <c r="K89" s="42" t="n">
        <v>243.91</v>
      </c>
      <c r="L89" s="42" t="n">
        <v>94.03</v>
      </c>
      <c r="M89" s="42" t="n">
        <v>20</v>
      </c>
      <c r="N89" s="42" t="n">
        <v>279.4</v>
      </c>
      <c r="O89" s="42" t="n">
        <v>129.52</v>
      </c>
      <c r="P89" s="42" t="n">
        <v>27.5</v>
      </c>
      <c r="Q89" s="42" t="n">
        <v>102.19</v>
      </c>
      <c r="R89" s="42" t="n">
        <v>0</v>
      </c>
      <c r="S89" s="42" t="n">
        <v>10</v>
      </c>
      <c r="T89" s="42" t="n">
        <v>10</v>
      </c>
      <c r="U89" s="42" t="n">
        <v>0</v>
      </c>
      <c r="V89" s="42" t="n">
        <v>1022</v>
      </c>
      <c r="W89" s="42" t="n">
        <v>1022</v>
      </c>
      <c r="X89" s="42" t="inlineStr">
        <is>
          <t>yes</t>
        </is>
      </c>
      <c r="Y89" s="42" t="inlineStr"/>
    </row>
    <row r="90">
      <c r="A90" s="42" t="inlineStr">
        <is>
          <t>Mathura Ka Peda (1 Kg)</t>
        </is>
      </c>
      <c r="B90" s="42" t="inlineStr">
        <is>
          <t>Mithai</t>
        </is>
      </c>
      <c r="C90" s="42" t="inlineStr">
        <is>
          <t>Milk-reduce</t>
        </is>
      </c>
      <c r="D90" s="42" t="n">
        <v>299.76</v>
      </c>
      <c r="E90" s="42" t="n">
        <v>700</v>
      </c>
      <c r="F90" s="42" t="n">
        <v>666.67</v>
      </c>
      <c r="G90" s="42" t="n">
        <v>366.91</v>
      </c>
      <c r="H90" s="42" t="n">
        <v>55</v>
      </c>
      <c r="I90" s="42" t="n">
        <v>931</v>
      </c>
      <c r="J90" s="42" t="n">
        <v>33</v>
      </c>
      <c r="K90" s="42" t="n">
        <v>482.13</v>
      </c>
      <c r="L90" s="42" t="n">
        <v>182.37</v>
      </c>
      <c r="M90" s="42" t="n">
        <v>19.6</v>
      </c>
      <c r="N90" s="42" t="n">
        <v>552.27</v>
      </c>
      <c r="O90" s="42" t="n">
        <v>252.51</v>
      </c>
      <c r="P90" s="42" t="n">
        <v>27.1</v>
      </c>
      <c r="Q90" s="42" t="n">
        <v>198.5</v>
      </c>
      <c r="R90" s="42" t="n">
        <v>0</v>
      </c>
      <c r="S90" s="42" t="n">
        <v>5</v>
      </c>
      <c r="T90" s="42" t="n">
        <v>5</v>
      </c>
      <c r="U90" s="42" t="n">
        <v>0</v>
      </c>
      <c r="V90" s="42" t="n">
        <v>993</v>
      </c>
      <c r="W90" s="42" t="n">
        <v>993</v>
      </c>
      <c r="X90" s="42" t="inlineStr">
        <is>
          <t>yes</t>
        </is>
      </c>
      <c r="Y90" s="42" t="inlineStr"/>
    </row>
    <row r="91">
      <c r="A91" t="inlineStr">
        <is>
          <t>Chole Chawal</t>
        </is>
      </c>
      <c r="B91" t="inlineStr">
        <is>
          <t>Rice</t>
        </is>
      </c>
      <c r="C91" t="inlineStr">
        <is>
          <t>Simmer</t>
        </is>
      </c>
      <c r="D91" t="n">
        <v>32.33</v>
      </c>
      <c r="E91" t="n">
        <v>149</v>
      </c>
      <c r="F91" t="n">
        <v>141.9</v>
      </c>
      <c r="G91" t="n">
        <v>109.57</v>
      </c>
      <c r="H91" t="n">
        <v>77.2</v>
      </c>
      <c r="I91" t="n">
        <v>179</v>
      </c>
      <c r="J91" t="n">
        <v>20.1</v>
      </c>
      <c r="K91" t="n">
        <v>92.7</v>
      </c>
      <c r="L91" t="n">
        <v>60.37</v>
      </c>
      <c r="M91" t="n">
        <v>33.7</v>
      </c>
      <c r="N91" t="n">
        <v>106.18</v>
      </c>
      <c r="O91" t="n">
        <v>73.84999999999999</v>
      </c>
      <c r="P91" t="n">
        <v>41.3</v>
      </c>
      <c r="Q91" t="n">
        <v>63.47</v>
      </c>
      <c r="R91" t="n">
        <v>8</v>
      </c>
      <c r="S91" t="n">
        <v>0</v>
      </c>
      <c r="T91" t="n">
        <v>8</v>
      </c>
      <c r="U91" t="n">
        <v>877</v>
      </c>
      <c r="V91" t="n">
        <v>0</v>
      </c>
      <c r="W91" t="n">
        <v>877</v>
      </c>
      <c r="X91" t="inlineStr"/>
      <c r="Y91" t="inlineStr"/>
    </row>
    <row r="92">
      <c r="A92" s="42" t="inlineStr">
        <is>
          <t>Rajma</t>
        </is>
      </c>
      <c r="B92" s="42" t="inlineStr">
        <is>
          <t>Rice</t>
        </is>
      </c>
      <c r="C92" s="42" t="inlineStr">
        <is>
          <t>Simmer</t>
        </is>
      </c>
      <c r="D92" s="42" t="n">
        <v>41.12</v>
      </c>
      <c r="E92" s="42" t="n">
        <v>119</v>
      </c>
      <c r="F92" s="42" t="n">
        <v>113.33</v>
      </c>
      <c r="G92" s="42" t="n">
        <v>72.20999999999999</v>
      </c>
      <c r="H92" s="42" t="n">
        <v>63.7</v>
      </c>
      <c r="I92" s="42" t="n">
        <v>149</v>
      </c>
      <c r="J92" s="42" t="n">
        <v>25.2</v>
      </c>
      <c r="K92" s="42" t="n">
        <v>77.16</v>
      </c>
      <c r="L92" s="42" t="n">
        <v>36.04</v>
      </c>
      <c r="M92" s="42" t="n">
        <v>24.2</v>
      </c>
      <c r="N92" s="42" t="n">
        <v>88.39</v>
      </c>
      <c r="O92" s="42" t="n">
        <v>47.27</v>
      </c>
      <c r="P92" s="42" t="n">
        <v>31.7</v>
      </c>
      <c r="Q92" s="42" t="n">
        <v>38.62</v>
      </c>
      <c r="R92" s="42" t="n">
        <v>11</v>
      </c>
      <c r="S92" s="42" t="n">
        <v>2</v>
      </c>
      <c r="T92" s="42" t="n">
        <v>13</v>
      </c>
      <c r="U92" s="42" t="n">
        <v>794</v>
      </c>
      <c r="V92" s="42" t="n">
        <v>77</v>
      </c>
      <c r="W92" s="42" t="n">
        <v>871</v>
      </c>
      <c r="X92" s="42" t="inlineStr"/>
      <c r="Y92" s="42" t="inlineStr"/>
    </row>
    <row r="93">
      <c r="A93" t="inlineStr">
        <is>
          <t>Atta Dahi Poori (5 Pc)</t>
        </is>
      </c>
      <c r="B93" t="inlineStr">
        <is>
          <t>Poori Wala</t>
        </is>
      </c>
      <c r="C93" t="inlineStr">
        <is>
          <t>Deep-fry</t>
        </is>
      </c>
      <c r="D93" t="n">
        <v>13.21</v>
      </c>
      <c r="E93" t="n">
        <v>60</v>
      </c>
      <c r="F93" t="n">
        <v>57.14</v>
      </c>
      <c r="G93" t="n">
        <v>43.93</v>
      </c>
      <c r="H93" t="n">
        <v>76.90000000000001</v>
      </c>
      <c r="R93" t="n">
        <v>19</v>
      </c>
      <c r="S93" t="n">
        <v>0</v>
      </c>
      <c r="T93" t="n">
        <v>19</v>
      </c>
      <c r="U93" t="n">
        <v>835</v>
      </c>
      <c r="V93" t="n">
        <v>0</v>
      </c>
      <c r="W93" t="n">
        <v>835</v>
      </c>
      <c r="X93" t="inlineStr"/>
      <c r="Y93" t="inlineStr"/>
    </row>
    <row r="94">
      <c r="A94" t="inlineStr">
        <is>
          <t>Dal Tadka</t>
        </is>
      </c>
      <c r="B94" t="inlineStr">
        <is>
          <t>Dal</t>
        </is>
      </c>
      <c r="C94" t="inlineStr">
        <is>
          <t>Simmer</t>
        </is>
      </c>
      <c r="D94" t="n">
        <v>25.27</v>
      </c>
      <c r="E94" t="n">
        <v>119</v>
      </c>
      <c r="F94" t="n">
        <v>113.33</v>
      </c>
      <c r="G94" t="n">
        <v>88.06</v>
      </c>
      <c r="H94" t="n">
        <v>77.7</v>
      </c>
      <c r="I94" t="n">
        <v>149</v>
      </c>
      <c r="J94" t="n">
        <v>25.2</v>
      </c>
      <c r="K94" t="n">
        <v>77.16</v>
      </c>
      <c r="L94" t="n">
        <v>51.89</v>
      </c>
      <c r="M94" t="n">
        <v>34.8</v>
      </c>
      <c r="N94" t="n">
        <v>88.39</v>
      </c>
      <c r="O94" t="n">
        <v>63.12</v>
      </c>
      <c r="P94" t="n">
        <v>42.4</v>
      </c>
      <c r="Q94" t="n">
        <v>54.47</v>
      </c>
      <c r="R94" t="n">
        <v>6</v>
      </c>
      <c r="S94" t="n">
        <v>5</v>
      </c>
      <c r="T94" t="n">
        <v>11</v>
      </c>
      <c r="U94" t="n">
        <v>528</v>
      </c>
      <c r="V94" t="n">
        <v>272</v>
      </c>
      <c r="W94" t="n">
        <v>800</v>
      </c>
      <c r="X94" t="inlineStr"/>
      <c r="Y94" t="inlineStr"/>
    </row>
    <row r="95">
      <c r="A95" t="inlineStr">
        <is>
          <t>Thandai (500 Ml)</t>
        </is>
      </c>
      <c r="B95" t="inlineStr">
        <is>
          <t>Doodh</t>
        </is>
      </c>
      <c r="C95" t="inlineStr">
        <is>
          <t>Milk-reduce</t>
        </is>
      </c>
      <c r="D95" t="n">
        <v>75.02</v>
      </c>
      <c r="E95" t="n">
        <v>150</v>
      </c>
      <c r="F95" t="n">
        <v>142.86</v>
      </c>
      <c r="G95" t="n">
        <v>67.84</v>
      </c>
      <c r="H95" t="n">
        <v>47.5</v>
      </c>
      <c r="R95" t="n">
        <v>9</v>
      </c>
      <c r="S95" t="n">
        <v>0</v>
      </c>
      <c r="T95" t="n">
        <v>9</v>
      </c>
      <c r="U95" t="n">
        <v>611</v>
      </c>
      <c r="V95" t="n">
        <v>0</v>
      </c>
      <c r="W95" t="n">
        <v>611</v>
      </c>
      <c r="X95" t="inlineStr"/>
      <c r="Y95" t="inlineStr"/>
    </row>
    <row r="96">
      <c r="A96" t="inlineStr">
        <is>
          <t>Jalebi Desi Ghee (1 Kg)</t>
        </is>
      </c>
      <c r="B96" t="inlineStr">
        <is>
          <t>Mithai</t>
        </is>
      </c>
      <c r="C96" t="inlineStr">
        <is>
          <t>Deep-fry</t>
        </is>
      </c>
      <c r="D96" t="n">
        <v>169.5</v>
      </c>
      <c r="E96" t="n">
        <v>600</v>
      </c>
      <c r="F96" t="n">
        <v>571.4299999999999</v>
      </c>
      <c r="G96" t="n">
        <v>401.93</v>
      </c>
      <c r="H96" t="n">
        <v>70.3</v>
      </c>
      <c r="I96" t="n">
        <v>810</v>
      </c>
      <c r="J96" t="n">
        <v>35</v>
      </c>
      <c r="K96" t="n">
        <v>419.46</v>
      </c>
      <c r="L96" t="n">
        <v>249.96</v>
      </c>
      <c r="M96" t="n">
        <v>30.9</v>
      </c>
      <c r="N96" t="n">
        <v>480.49</v>
      </c>
      <c r="O96" t="n">
        <v>310.99</v>
      </c>
      <c r="P96" t="n">
        <v>38.4</v>
      </c>
      <c r="Q96" t="n">
        <v>264</v>
      </c>
      <c r="R96" t="n">
        <v>0</v>
      </c>
      <c r="S96" t="n">
        <v>2</v>
      </c>
      <c r="T96" t="n">
        <v>2</v>
      </c>
      <c r="U96" t="n">
        <v>0</v>
      </c>
      <c r="V96" t="n">
        <v>528</v>
      </c>
      <c r="W96" t="n">
        <v>528</v>
      </c>
      <c r="X96" t="inlineStr"/>
      <c r="Y96" t="inlineStr"/>
    </row>
    <row r="97">
      <c r="A97" t="inlineStr">
        <is>
          <t>Malpua (desi Ghee) (500 Gms)</t>
        </is>
      </c>
      <c r="B97" t="inlineStr">
        <is>
          <t>Mithai</t>
        </is>
      </c>
      <c r="C97" t="inlineStr">
        <is>
          <t>Deep-fry</t>
        </is>
      </c>
      <c r="D97" t="n">
        <v>65.59999999999999</v>
      </c>
      <c r="E97" t="n">
        <v>400</v>
      </c>
      <c r="F97" t="n">
        <v>380.95</v>
      </c>
      <c r="G97" t="n">
        <v>315.35</v>
      </c>
      <c r="H97" t="n">
        <v>82.8</v>
      </c>
      <c r="I97" t="n">
        <v>451</v>
      </c>
      <c r="J97" t="n">
        <v>12.7</v>
      </c>
      <c r="K97" t="n">
        <v>233.55</v>
      </c>
      <c r="L97" t="n">
        <v>167.95</v>
      </c>
      <c r="M97" t="n">
        <v>37.2</v>
      </c>
      <c r="N97" t="n">
        <v>267.53</v>
      </c>
      <c r="O97" t="n">
        <v>201.93</v>
      </c>
      <c r="P97" t="n">
        <v>44.8</v>
      </c>
      <c r="Q97" t="n">
        <v>175.77</v>
      </c>
      <c r="R97" t="n">
        <v>0</v>
      </c>
      <c r="S97" t="n">
        <v>3</v>
      </c>
      <c r="T97" t="n">
        <v>3</v>
      </c>
      <c r="U97" t="n">
        <v>0</v>
      </c>
      <c r="V97" t="n">
        <v>527</v>
      </c>
      <c r="W97" t="n">
        <v>527</v>
      </c>
      <c r="X97" t="inlineStr">
        <is>
          <t>yes</t>
        </is>
      </c>
      <c r="Y97" t="inlineStr"/>
    </row>
    <row r="98">
      <c r="A98" t="inlineStr">
        <is>
          <t>Desi Chai</t>
        </is>
      </c>
      <c r="B98" t="inlineStr">
        <is>
          <t>Chai</t>
        </is>
      </c>
      <c r="C98" t="inlineStr">
        <is>
          <t>Boil</t>
        </is>
      </c>
      <c r="D98" t="n">
        <v>7.13</v>
      </c>
      <c r="E98" t="n">
        <v>20</v>
      </c>
      <c r="F98" t="n">
        <v>19.05</v>
      </c>
      <c r="G98" t="n">
        <v>11.92</v>
      </c>
      <c r="H98" t="n">
        <v>62.6</v>
      </c>
      <c r="R98" t="n">
        <v>38</v>
      </c>
      <c r="S98" t="n">
        <v>0</v>
      </c>
      <c r="T98" t="n">
        <v>38</v>
      </c>
      <c r="U98" t="n">
        <v>453</v>
      </c>
      <c r="V98" t="n">
        <v>0</v>
      </c>
      <c r="W98" t="n">
        <v>453</v>
      </c>
      <c r="X98" t="inlineStr"/>
      <c r="Y98" t="inlineStr"/>
    </row>
    <row r="99">
      <c r="A99" t="inlineStr">
        <is>
          <t>1 Paneer Paratha + Chole/Rajma/Dal/Dal Makhni + Rice + Raita + Sweet</t>
        </is>
      </c>
      <c r="B99" t="inlineStr">
        <is>
          <t>Parathe</t>
        </is>
      </c>
      <c r="C99" t="inlineStr">
        <is>
          <t>Tawa</t>
        </is>
      </c>
      <c r="D99" t="n">
        <v>28.8</v>
      </c>
      <c r="E99" t="n">
        <v>239</v>
      </c>
      <c r="F99" t="n">
        <v>227.62</v>
      </c>
      <c r="G99" t="n">
        <v>198.82</v>
      </c>
      <c r="H99" t="n">
        <v>87.3</v>
      </c>
      <c r="R99" t="n">
        <v>2</v>
      </c>
      <c r="S99" t="n">
        <v>0</v>
      </c>
      <c r="T99" t="n">
        <v>2</v>
      </c>
      <c r="U99" t="n">
        <v>398</v>
      </c>
      <c r="V99" t="n">
        <v>0</v>
      </c>
      <c r="W99" t="n">
        <v>398</v>
      </c>
      <c r="X99" t="inlineStr"/>
      <c r="Y99" t="inlineStr"/>
    </row>
    <row r="100">
      <c r="A100" t="inlineStr">
        <is>
          <t>Unlimited Chole Bhature</t>
        </is>
      </c>
      <c r="B100" t="inlineStr">
        <is>
          <t>Chole Wala</t>
        </is>
      </c>
      <c r="C100" t="inlineStr">
        <is>
          <t>Simmer</t>
        </is>
      </c>
      <c r="D100" t="n">
        <v>33.23</v>
      </c>
      <c r="E100" t="n">
        <v>150</v>
      </c>
      <c r="F100" t="n">
        <v>142.86</v>
      </c>
      <c r="G100" t="n">
        <v>109.63</v>
      </c>
      <c r="H100" t="n">
        <v>76.7</v>
      </c>
      <c r="R100" t="n">
        <v>3</v>
      </c>
      <c r="S100" t="n">
        <v>0</v>
      </c>
      <c r="T100" t="n">
        <v>3</v>
      </c>
      <c r="U100" t="n">
        <v>329</v>
      </c>
      <c r="V100" t="n">
        <v>0</v>
      </c>
      <c r="W100" t="n">
        <v>329</v>
      </c>
      <c r="X100" t="inlineStr"/>
      <c r="Y100" t="inlineStr"/>
    </row>
    <row r="101">
      <c r="A101" t="inlineStr">
        <is>
          <t>Extra Kadhi</t>
        </is>
      </c>
      <c r="B101" t="inlineStr">
        <is>
          <t>Kachori Wala</t>
        </is>
      </c>
      <c r="C101" t="inlineStr">
        <is>
          <t>Simmer</t>
        </is>
      </c>
      <c r="D101" t="n">
        <v>3.52</v>
      </c>
      <c r="E101" t="n">
        <v>20</v>
      </c>
      <c r="F101" t="n">
        <v>19.05</v>
      </c>
      <c r="G101" t="n">
        <v>15.53</v>
      </c>
      <c r="H101" t="n">
        <v>81.5</v>
      </c>
      <c r="R101" t="n">
        <v>21</v>
      </c>
      <c r="S101" t="n">
        <v>0</v>
      </c>
      <c r="T101" t="n">
        <v>21</v>
      </c>
      <c r="U101" t="n">
        <v>326</v>
      </c>
      <c r="V101" t="n">
        <v>0</v>
      </c>
      <c r="W101" t="n">
        <v>326</v>
      </c>
      <c r="X101" t="inlineStr"/>
      <c r="Y101" t="inlineStr"/>
    </row>
    <row r="102">
      <c r="A102" t="inlineStr">
        <is>
          <t>Dal Fry</t>
        </is>
      </c>
      <c r="B102" t="inlineStr">
        <is>
          <t>Rice</t>
        </is>
      </c>
      <c r="C102" t="inlineStr">
        <is>
          <t>Simmer</t>
        </is>
      </c>
      <c r="D102" t="n">
        <v>34.15</v>
      </c>
      <c r="E102" t="n">
        <v>99</v>
      </c>
      <c r="F102" t="n">
        <v>94.29000000000001</v>
      </c>
      <c r="G102" t="n">
        <v>60.14</v>
      </c>
      <c r="H102" t="n">
        <v>63.8</v>
      </c>
      <c r="I102" t="n">
        <v>129</v>
      </c>
      <c r="J102" t="n">
        <v>30.3</v>
      </c>
      <c r="K102" t="n">
        <v>66.8</v>
      </c>
      <c r="L102" t="n">
        <v>32.65</v>
      </c>
      <c r="M102" t="n">
        <v>25.3</v>
      </c>
      <c r="N102" t="n">
        <v>76.52</v>
      </c>
      <c r="O102" t="n">
        <v>42.37</v>
      </c>
      <c r="P102" t="n">
        <v>32.8</v>
      </c>
      <c r="Q102" t="n">
        <v>34.89</v>
      </c>
      <c r="R102" t="n">
        <v>4</v>
      </c>
      <c r="S102" t="n">
        <v>2</v>
      </c>
      <c r="T102" t="n">
        <v>6</v>
      </c>
      <c r="U102" t="n">
        <v>241</v>
      </c>
      <c r="V102" t="n">
        <v>70</v>
      </c>
      <c r="W102" t="n">
        <v>311</v>
      </c>
      <c r="X102" t="inlineStr"/>
      <c r="Y102" t="inlineStr"/>
    </row>
    <row r="103">
      <c r="A103" t="inlineStr">
        <is>
          <t>Paneer Paratha Meal With Sweet</t>
        </is>
      </c>
      <c r="B103" t="inlineStr">
        <is>
          <t>Parathe</t>
        </is>
      </c>
      <c r="C103" t="inlineStr">
        <is>
          <t>Tawa</t>
        </is>
      </c>
      <c r="D103" t="n">
        <v>28.8</v>
      </c>
      <c r="I103" t="n">
        <v>299</v>
      </c>
      <c r="K103" t="n">
        <v>154.84</v>
      </c>
      <c r="L103" t="n">
        <v>126.04</v>
      </c>
      <c r="M103" t="n">
        <v>42.2</v>
      </c>
      <c r="N103" t="n">
        <v>177.37</v>
      </c>
      <c r="O103" t="n">
        <v>148.57</v>
      </c>
      <c r="P103" t="n">
        <v>49.7</v>
      </c>
      <c r="Q103" t="n">
        <v>131.22</v>
      </c>
      <c r="R103" t="n">
        <v>0</v>
      </c>
      <c r="S103" t="n">
        <v>2</v>
      </c>
      <c r="T103" t="n">
        <v>2</v>
      </c>
      <c r="U103" t="n">
        <v>0</v>
      </c>
      <c r="V103" t="n">
        <v>262</v>
      </c>
      <c r="W103" t="n">
        <v>262</v>
      </c>
      <c r="X103" t="inlineStr"/>
      <c r="Y103" t="inlineStr"/>
    </row>
    <row r="104">
      <c r="A104" t="inlineStr">
        <is>
          <t>Masala Chaas (500 Ml)</t>
        </is>
      </c>
      <c r="B104" t="inlineStr">
        <is>
          <t>Lassi</t>
        </is>
      </c>
      <c r="C104" t="inlineStr">
        <is>
          <t>Assembled</t>
        </is>
      </c>
      <c r="D104" t="n">
        <v>8</v>
      </c>
      <c r="E104" t="n">
        <v>45</v>
      </c>
      <c r="F104" t="n">
        <v>42.86</v>
      </c>
      <c r="G104" t="n">
        <v>34.86</v>
      </c>
      <c r="H104" t="n">
        <v>81.3</v>
      </c>
      <c r="R104" t="n">
        <v>6</v>
      </c>
      <c r="S104" t="n">
        <v>0</v>
      </c>
      <c r="T104" t="n">
        <v>6</v>
      </c>
      <c r="U104" t="n">
        <v>209</v>
      </c>
      <c r="V104" t="n">
        <v>0</v>
      </c>
      <c r="W104" t="n">
        <v>209</v>
      </c>
      <c r="X104" t="inlineStr"/>
      <c r="Y104" t="inlineStr"/>
    </row>
    <row r="105">
      <c r="A105" t="inlineStr">
        <is>
          <t>Dahi (1kg)</t>
        </is>
      </c>
      <c r="B105" t="inlineStr">
        <is>
          <t>Chaat Wala</t>
        </is>
      </c>
      <c r="C105" t="inlineStr">
        <is>
          <t>Deep-fry</t>
        </is>
      </c>
      <c r="D105" t="n">
        <v>13.41</v>
      </c>
      <c r="E105" t="n">
        <v>190.48</v>
      </c>
      <c r="F105" t="n">
        <v>181.41</v>
      </c>
      <c r="G105" t="n">
        <v>168</v>
      </c>
      <c r="H105" t="n">
        <v>92.59999999999999</v>
      </c>
      <c r="I105" t="n">
        <v>490</v>
      </c>
      <c r="J105" t="n">
        <v>157.2</v>
      </c>
      <c r="K105" t="n">
        <v>253.75</v>
      </c>
      <c r="L105" t="n">
        <v>240.34</v>
      </c>
      <c r="M105" t="n">
        <v>49</v>
      </c>
      <c r="N105" t="n">
        <v>290.67</v>
      </c>
      <c r="O105" t="n">
        <v>277.26</v>
      </c>
      <c r="P105" t="n">
        <v>56.6</v>
      </c>
      <c r="Q105" t="n">
        <v>248.83</v>
      </c>
      <c r="R105" t="n">
        <v>1</v>
      </c>
      <c r="S105" t="n">
        <v>0</v>
      </c>
      <c r="T105" t="n">
        <v>1</v>
      </c>
      <c r="U105" t="n">
        <v>185</v>
      </c>
      <c r="V105" t="n">
        <v>0</v>
      </c>
      <c r="W105" t="n">
        <v>185</v>
      </c>
      <c r="X105" t="inlineStr">
        <is>
          <t>yes</t>
        </is>
      </c>
      <c r="Y105" t="inlineStr">
        <is>
          <t>markup +157% looks like a portion or pack mismatch, confirm before acting</t>
        </is>
      </c>
    </row>
    <row r="106">
      <c r="A106" t="inlineStr">
        <is>
          <t>Kesar Angoori Rasmalai</t>
        </is>
      </c>
      <c r="B106" t="inlineStr">
        <is>
          <t>Mithai</t>
        </is>
      </c>
      <c r="C106" t="inlineStr">
        <is>
          <t>Milk-reduce</t>
        </is>
      </c>
      <c r="D106" t="n">
        <v>21.34</v>
      </c>
      <c r="E106" t="n">
        <v>700</v>
      </c>
      <c r="F106" t="n">
        <v>666.67</v>
      </c>
      <c r="G106" t="n">
        <v>645.33</v>
      </c>
      <c r="H106" t="n">
        <v>96.8</v>
      </c>
      <c r="R106" t="n">
        <v>0</v>
      </c>
      <c r="S106" t="n">
        <v>0</v>
      </c>
      <c r="T106" t="n">
        <v>0</v>
      </c>
      <c r="U106" t="n">
        <v>161</v>
      </c>
      <c r="V106" t="n">
        <v>0</v>
      </c>
      <c r="W106" t="n">
        <v>161</v>
      </c>
      <c r="X106" t="inlineStr"/>
      <c r="Y106" t="inlineStr"/>
    </row>
    <row r="107">
      <c r="A107" t="inlineStr">
        <is>
          <t>1 Plain Paratha + Dal Fry + Rice + Raita + Sweet</t>
        </is>
      </c>
      <c r="B107" t="inlineStr">
        <is>
          <t>Parathe</t>
        </is>
      </c>
      <c r="C107" t="inlineStr">
        <is>
          <t>Tawa</t>
        </is>
      </c>
      <c r="D107" t="n">
        <v>9.43</v>
      </c>
      <c r="E107" t="n">
        <v>179</v>
      </c>
      <c r="F107" t="n">
        <v>170.48</v>
      </c>
      <c r="G107" t="n">
        <v>161.05</v>
      </c>
      <c r="H107" t="n">
        <v>94.5</v>
      </c>
      <c r="I107" t="n">
        <v>229</v>
      </c>
      <c r="J107" t="n">
        <v>27.9</v>
      </c>
      <c r="K107" t="n">
        <v>118.59</v>
      </c>
      <c r="L107" t="n">
        <v>109.16</v>
      </c>
      <c r="M107" t="n">
        <v>47.7</v>
      </c>
      <c r="N107" t="n">
        <v>135.84</v>
      </c>
      <c r="O107" t="n">
        <v>126.41</v>
      </c>
      <c r="P107" t="n">
        <v>55.2</v>
      </c>
      <c r="Q107" t="n">
        <v>113.13</v>
      </c>
      <c r="R107" t="n">
        <v>0</v>
      </c>
      <c r="S107" t="n">
        <v>1</v>
      </c>
      <c r="T107" t="n">
        <v>1</v>
      </c>
      <c r="U107" t="n">
        <v>0</v>
      </c>
      <c r="V107" t="n">
        <v>113</v>
      </c>
      <c r="W107" t="n">
        <v>113</v>
      </c>
      <c r="X107" t="inlineStr"/>
      <c r="Y107" t="inlineStr"/>
    </row>
    <row r="108">
      <c r="A108" s="42" t="inlineStr">
        <is>
          <t>Dahi (100 Gms)</t>
        </is>
      </c>
      <c r="B108" s="42" t="inlineStr">
        <is>
          <t>Chaat Wala</t>
        </is>
      </c>
      <c r="C108" s="42" t="inlineStr">
        <is>
          <t>Deep-fry</t>
        </is>
      </c>
      <c r="D108" s="42" t="n">
        <v>13.41</v>
      </c>
      <c r="E108" s="42" t="n"/>
      <c r="F108" s="42" t="n"/>
      <c r="G108" s="42" t="n"/>
      <c r="H108" s="42" t="n"/>
      <c r="I108" s="42" t="n">
        <v>49</v>
      </c>
      <c r="J108" s="42" t="n"/>
      <c r="K108" s="42" t="n">
        <v>25.38</v>
      </c>
      <c r="L108" s="42" t="n">
        <v>11.97</v>
      </c>
      <c r="M108" s="42" t="n">
        <v>24.4</v>
      </c>
      <c r="N108" s="42" t="n">
        <v>29.07</v>
      </c>
      <c r="O108" s="42" t="n">
        <v>15.66</v>
      </c>
      <c r="P108" s="42" t="n">
        <v>32</v>
      </c>
      <c r="Q108" s="42" t="n">
        <v>12.82</v>
      </c>
      <c r="R108" s="42" t="n">
        <v>0</v>
      </c>
      <c r="S108" s="42" t="n">
        <v>6</v>
      </c>
      <c r="T108" s="42" t="n">
        <v>6</v>
      </c>
      <c r="U108" s="42" t="n">
        <v>0</v>
      </c>
      <c r="V108" s="42" t="n">
        <v>77</v>
      </c>
      <c r="W108" s="42" t="n">
        <v>77</v>
      </c>
      <c r="X108" s="42" t="inlineStr"/>
      <c r="Y108" s="42" t="inlineStr"/>
    </row>
    <row r="109">
      <c r="A109" t="inlineStr">
        <is>
          <t>Kulhad Thandai (250 Ml)</t>
        </is>
      </c>
      <c r="B109" t="inlineStr">
        <is>
          <t>Doodh</t>
        </is>
      </c>
      <c r="C109" t="inlineStr">
        <is>
          <t>Milk-reduce</t>
        </is>
      </c>
      <c r="D109" t="n">
        <v>75.02</v>
      </c>
      <c r="E109" t="n">
        <v>80</v>
      </c>
      <c r="F109" t="n">
        <v>76.19</v>
      </c>
      <c r="G109" t="n">
        <v>1.17</v>
      </c>
      <c r="H109" t="n">
        <v>1.5</v>
      </c>
      <c r="R109" t="n">
        <v>28</v>
      </c>
      <c r="S109" t="n">
        <v>0</v>
      </c>
      <c r="T109" t="n">
        <v>28</v>
      </c>
      <c r="U109" t="n">
        <v>33</v>
      </c>
      <c r="V109" t="n">
        <v>0</v>
      </c>
      <c r="W109" t="n">
        <v>33</v>
      </c>
      <c r="X109" t="inlineStr"/>
      <c r="Y109" t="inlineStr"/>
    </row>
    <row r="110">
      <c r="A110" t="inlineStr">
        <is>
          <t>Special Paneer Bread Pakoda (1 Pc)</t>
        </is>
      </c>
      <c r="B110" t="inlineStr">
        <is>
          <t>Snacks</t>
        </is>
      </c>
      <c r="C110" t="inlineStr">
        <is>
          <t>Deep-fry</t>
        </is>
      </c>
      <c r="D110" t="n">
        <v>16.07</v>
      </c>
      <c r="E110" t="n">
        <v>50</v>
      </c>
      <c r="F110" t="n">
        <v>47.62</v>
      </c>
      <c r="G110" t="n">
        <v>31.55</v>
      </c>
      <c r="H110" t="n">
        <v>66.3</v>
      </c>
      <c r="I110" t="n">
        <v>71</v>
      </c>
      <c r="J110" t="n">
        <v>42</v>
      </c>
      <c r="K110" t="n">
        <v>36.77</v>
      </c>
      <c r="L110" t="n">
        <v>20.7</v>
      </c>
      <c r="M110" t="n">
        <v>29.2</v>
      </c>
      <c r="N110" t="n">
        <v>42.12</v>
      </c>
      <c r="O110" t="n">
        <v>26.05</v>
      </c>
      <c r="P110" t="n">
        <v>36.7</v>
      </c>
      <c r="Q110" t="n">
        <v>21.93</v>
      </c>
      <c r="R110" t="n">
        <v>1</v>
      </c>
      <c r="S110" t="n">
        <v>0</v>
      </c>
      <c r="T110" t="n">
        <v>1</v>
      </c>
      <c r="U110" t="n">
        <v>32</v>
      </c>
      <c r="V110" t="n">
        <v>0</v>
      </c>
      <c r="W110" t="n">
        <v>32</v>
      </c>
      <c r="X110" t="inlineStr"/>
      <c r="Y110" t="inlineStr"/>
    </row>
    <row r="111">
      <c r="A111" s="43" t="inlineStr">
        <is>
          <t>Thandai (250 Ml)</t>
        </is>
      </c>
      <c r="B111" s="43" t="inlineStr">
        <is>
          <t>Doodh</t>
        </is>
      </c>
      <c r="C111" s="43" t="inlineStr">
        <is>
          <t>Milk-reduce</t>
        </is>
      </c>
      <c r="D111" s="43" t="n">
        <v>75.02</v>
      </c>
      <c r="E111" s="43" t="n">
        <v>80</v>
      </c>
      <c r="F111" s="43" t="n">
        <v>76.19</v>
      </c>
      <c r="G111" s="43" t="n">
        <v>1.17</v>
      </c>
      <c r="H111" s="43" t="n">
        <v>1.5</v>
      </c>
      <c r="I111" s="43" t="n">
        <v>112</v>
      </c>
      <c r="J111" s="43" t="n">
        <v>40</v>
      </c>
      <c r="K111" s="43" t="n">
        <v>58</v>
      </c>
      <c r="L111" s="43" t="n">
        <v>-17.02</v>
      </c>
      <c r="M111" s="43" t="n">
        <v>-15.2</v>
      </c>
      <c r="N111" s="43" t="n">
        <v>66.44</v>
      </c>
      <c r="O111" s="43" t="n">
        <v>-8.58</v>
      </c>
      <c r="P111" s="43" t="n">
        <v>-7.7</v>
      </c>
      <c r="Q111" s="43" t="n">
        <v>-15.08</v>
      </c>
      <c r="R111" s="43" t="n">
        <v>20</v>
      </c>
      <c r="S111" s="43" t="n">
        <v>0</v>
      </c>
      <c r="T111" s="43" t="n">
        <v>20</v>
      </c>
      <c r="U111" s="43" t="n">
        <v>23</v>
      </c>
      <c r="V111" s="43" t="n">
        <v>0</v>
      </c>
      <c r="W111" s="43" t="n">
        <v>23</v>
      </c>
      <c r="X111" s="43" t="inlineStr"/>
      <c r="Y111" s="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Dish</t>
        </is>
      </c>
      <c r="B1" s="12" t="inlineStr">
        <is>
          <t>Category</t>
        </is>
      </c>
      <c r="C1" s="12" t="inlineStr">
        <is>
          <t>Cost (₹)</t>
        </is>
      </c>
      <c r="D1" s="12" t="inlineStr">
        <is>
          <t>Dine-in Price (₹)</t>
        </is>
      </c>
      <c r="E1" s="12" t="inlineStr">
        <is>
          <t>Food Cost %</t>
        </is>
      </c>
      <c r="F1" s="12" t="inlineStr">
        <is>
          <t>Margin (₹)</t>
        </is>
      </c>
      <c r="G1" s="12" t="inlineStr">
        <is>
          <t>Margin %</t>
        </is>
      </c>
    </row>
    <row r="2">
      <c r="A2" s="15" t="inlineStr">
        <is>
          <t>Khaman Dhokla (100g)</t>
        </is>
      </c>
      <c r="B2" s="15" t="inlineStr">
        <is>
          <t>Snacks</t>
        </is>
      </c>
      <c r="C2" s="16" t="n">
        <v>2</v>
      </c>
      <c r="D2" s="15" t="n">
        <v>40</v>
      </c>
      <c r="E2" s="17" t="n">
        <v>0.05</v>
      </c>
      <c r="F2" s="16" t="n">
        <v>38</v>
      </c>
      <c r="G2" s="18" t="n">
        <v>0.95</v>
      </c>
    </row>
    <row r="3">
      <c r="A3" s="15" t="inlineStr">
        <is>
          <t>Mix Pakora</t>
        </is>
      </c>
      <c r="B3" s="15" t="inlineStr">
        <is>
          <t>Pakora</t>
        </is>
      </c>
      <c r="C3" s="16" t="n">
        <v>2.84</v>
      </c>
      <c r="D3" s="15" t="n">
        <v>35</v>
      </c>
      <c r="E3" s="17" t="n">
        <v>0.081</v>
      </c>
      <c r="F3" s="16" t="n">
        <v>32.16</v>
      </c>
      <c r="G3" s="18" t="n">
        <v>0.919</v>
      </c>
    </row>
    <row r="4">
      <c r="A4" s="15" t="inlineStr">
        <is>
          <t>Plain Roti</t>
        </is>
      </c>
      <c r="B4" s="15" t="inlineStr">
        <is>
          <t>Roti</t>
        </is>
      </c>
      <c r="C4" s="16" t="n">
        <v>1.69</v>
      </c>
      <c r="D4" s="15" t="n">
        <v>18</v>
      </c>
      <c r="E4" s="17" t="n">
        <v>0.094</v>
      </c>
      <c r="F4" s="16" t="n">
        <v>16.31</v>
      </c>
      <c r="G4" s="18" t="n">
        <v>0.906</v>
      </c>
    </row>
    <row r="5">
      <c r="A5" s="15" t="inlineStr">
        <is>
          <t>Masala Poori with Sabji</t>
        </is>
      </c>
      <c r="B5" s="15" t="inlineStr">
        <is>
          <t>Chole Wala</t>
        </is>
      </c>
      <c r="C5" s="16" t="n">
        <v>11.05</v>
      </c>
      <c r="D5" s="15" t="n">
        <v>110</v>
      </c>
      <c r="E5" s="17" t="n">
        <v>0.1</v>
      </c>
      <c r="F5" s="16" t="n">
        <v>98.95</v>
      </c>
      <c r="G5" s="18" t="n">
        <v>0.9</v>
      </c>
    </row>
    <row r="6">
      <c r="A6" s="15" t="inlineStr">
        <is>
          <t>Falahari Aloo Chaat</t>
        </is>
      </c>
      <c r="B6" s="15" t="inlineStr">
        <is>
          <t>Falahari</t>
        </is>
      </c>
      <c r="C6" s="16" t="n">
        <v>9.1</v>
      </c>
      <c r="D6" s="15" t="n">
        <v>80</v>
      </c>
      <c r="E6" s="17" t="n">
        <v>0.114</v>
      </c>
      <c r="F6" s="16" t="n">
        <v>70.90000000000001</v>
      </c>
      <c r="G6" s="18" t="n">
        <v>0.886</v>
      </c>
    </row>
    <row r="7">
      <c r="A7" s="15" t="inlineStr">
        <is>
          <t>Pyaz Pakora</t>
        </is>
      </c>
      <c r="B7" s="15" t="inlineStr">
        <is>
          <t>Pakora</t>
        </is>
      </c>
      <c r="C7" s="16" t="n">
        <v>4.14</v>
      </c>
      <c r="D7" s="15" t="n">
        <v>35</v>
      </c>
      <c r="E7" s="17" t="n">
        <v>0.118</v>
      </c>
      <c r="F7" s="16" t="n">
        <v>30.86</v>
      </c>
      <c r="G7" s="18" t="n">
        <v>0.882</v>
      </c>
    </row>
    <row r="8">
      <c r="A8" s="15" t="inlineStr">
        <is>
          <t>Papri Chaat</t>
        </is>
      </c>
      <c r="B8" s="15" t="inlineStr">
        <is>
          <t>Chaat Wala</t>
        </is>
      </c>
      <c r="C8" s="16" t="n">
        <v>12.9</v>
      </c>
      <c r="D8" s="15" t="n">
        <v>90</v>
      </c>
      <c r="E8" s="17" t="n">
        <v>0.143</v>
      </c>
      <c r="F8" s="16" t="n">
        <v>77.09999999999999</v>
      </c>
      <c r="G8" s="18" t="n">
        <v>0.857</v>
      </c>
    </row>
    <row r="9">
      <c r="A9" s="15" t="inlineStr">
        <is>
          <t>Aloo Pyaz Sabji Samosa</t>
        </is>
      </c>
      <c r="B9" s="15" t="inlineStr">
        <is>
          <t>Samosa Wala</t>
        </is>
      </c>
      <c r="C9" s="16" t="n">
        <v>6.01</v>
      </c>
      <c r="D9" s="15" t="n">
        <v>40</v>
      </c>
      <c r="E9" s="17" t="n">
        <v>0.15</v>
      </c>
      <c r="F9" s="16" t="n">
        <v>33.99</v>
      </c>
      <c r="G9" s="18" t="n">
        <v>0.85</v>
      </c>
    </row>
    <row r="10">
      <c r="A10" s="15" t="inlineStr">
        <is>
          <t>Aloo Chaat</t>
        </is>
      </c>
      <c r="B10" s="15" t="inlineStr">
        <is>
          <t>Chaat Wala</t>
        </is>
      </c>
      <c r="C10" s="16" t="n">
        <v>11.22</v>
      </c>
      <c r="D10" s="15" t="n">
        <v>70</v>
      </c>
      <c r="E10" s="17" t="n">
        <v>0.16</v>
      </c>
      <c r="F10" s="16" t="n">
        <v>58.78</v>
      </c>
      <c r="G10" s="18" t="n">
        <v>0.84</v>
      </c>
    </row>
    <row r="11">
      <c r="A11" s="15" t="inlineStr">
        <is>
          <t>Malpua</t>
        </is>
      </c>
      <c r="B11" s="15" t="inlineStr">
        <is>
          <t>Mithai</t>
        </is>
      </c>
      <c r="C11" s="16" t="n">
        <v>13.12</v>
      </c>
      <c r="D11" s="15" t="n">
        <v>80</v>
      </c>
      <c r="E11" s="17" t="n">
        <v>0.164</v>
      </c>
      <c r="F11" s="16" t="n">
        <v>66.88</v>
      </c>
      <c r="G11" s="18" t="n">
        <v>0.836</v>
      </c>
    </row>
    <row r="12">
      <c r="A12" s="15" t="inlineStr">
        <is>
          <t>Methi Paratha</t>
        </is>
      </c>
      <c r="B12" s="15" t="inlineStr">
        <is>
          <t>Parathe</t>
        </is>
      </c>
      <c r="C12" s="16" t="n">
        <v>16.41</v>
      </c>
      <c r="D12" s="15" t="n">
        <v>99</v>
      </c>
      <c r="E12" s="17" t="n">
        <v>0.166</v>
      </c>
      <c r="F12" s="16" t="n">
        <v>82.59</v>
      </c>
      <c r="G12" s="18" t="n">
        <v>0.834</v>
      </c>
    </row>
    <row r="13">
      <c r="A13" s="15" t="inlineStr">
        <is>
          <t>Aloo Pyaz Paratha</t>
        </is>
      </c>
      <c r="B13" s="15" t="inlineStr">
        <is>
          <t>Parathe</t>
        </is>
      </c>
      <c r="C13" s="16" t="n">
        <v>16.77</v>
      </c>
      <c r="D13" s="15" t="n">
        <v>99</v>
      </c>
      <c r="E13" s="17" t="n">
        <v>0.169</v>
      </c>
      <c r="F13" s="16" t="n">
        <v>82.22</v>
      </c>
      <c r="G13" s="18" t="n">
        <v>0.831</v>
      </c>
    </row>
    <row r="14">
      <c r="A14" s="15" t="inlineStr">
        <is>
          <t>Sabji Samosa</t>
        </is>
      </c>
      <c r="B14" s="15" t="inlineStr">
        <is>
          <t>Samosa Wala</t>
        </is>
      </c>
      <c r="C14" s="16" t="n">
        <v>6.01</v>
      </c>
      <c r="D14" s="15" t="n">
        <v>35</v>
      </c>
      <c r="E14" s="17" t="n">
        <v>0.172</v>
      </c>
      <c r="F14" s="16" t="n">
        <v>28.99</v>
      </c>
      <c r="G14" s="18" t="n">
        <v>0.828</v>
      </c>
    </row>
    <row r="15">
      <c r="A15" s="15" t="inlineStr">
        <is>
          <t>Atta Paani Puri</t>
        </is>
      </c>
      <c r="B15" s="15" t="inlineStr">
        <is>
          <t>Poori Wala</t>
        </is>
      </c>
      <c r="C15" s="16" t="n">
        <v>6.89</v>
      </c>
      <c r="D15" s="15" t="n">
        <v>40</v>
      </c>
      <c r="E15" s="17" t="n">
        <v>0.172</v>
      </c>
      <c r="F15" s="16" t="n">
        <v>33.11</v>
      </c>
      <c r="G15" s="18" t="n">
        <v>0.828</v>
      </c>
    </row>
    <row r="16">
      <c r="A16" s="15" t="inlineStr">
        <is>
          <t>Kadhi Chawal</t>
        </is>
      </c>
      <c r="B16" s="15" t="inlineStr">
        <is>
          <t>Rice</t>
        </is>
      </c>
      <c r="C16" s="16" t="n">
        <v>22.26</v>
      </c>
      <c r="D16" s="15" t="n">
        <v>129</v>
      </c>
      <c r="E16" s="17" t="n">
        <v>0.173</v>
      </c>
      <c r="F16" s="16" t="n">
        <v>106.74</v>
      </c>
      <c r="G16" s="18" t="n">
        <v>0.827</v>
      </c>
    </row>
    <row r="17">
      <c r="A17" s="15" t="inlineStr">
        <is>
          <t>Aloo Paratha</t>
        </is>
      </c>
      <c r="B17" s="15" t="inlineStr">
        <is>
          <t>Parathe</t>
        </is>
      </c>
      <c r="C17" s="16" t="n">
        <v>17.11</v>
      </c>
      <c r="D17" s="15" t="n">
        <v>99</v>
      </c>
      <c r="E17" s="17" t="n">
        <v>0.173</v>
      </c>
      <c r="F17" s="16" t="n">
        <v>81.89</v>
      </c>
      <c r="G17" s="18" t="n">
        <v>0.827</v>
      </c>
    </row>
    <row r="18">
      <c r="A18" s="15" t="inlineStr">
        <is>
          <t>Gobhi Paratha</t>
        </is>
      </c>
      <c r="B18" s="15" t="inlineStr">
        <is>
          <t>Parathe</t>
        </is>
      </c>
      <c r="C18" s="16" t="n">
        <v>17.2</v>
      </c>
      <c r="D18" s="15" t="n">
        <v>99</v>
      </c>
      <c r="E18" s="17" t="n">
        <v>0.174</v>
      </c>
      <c r="F18" s="16" t="n">
        <v>81.8</v>
      </c>
      <c r="G18" s="18" t="n">
        <v>0.826</v>
      </c>
    </row>
    <row r="19">
      <c r="A19" s="15" t="inlineStr">
        <is>
          <t>Bedai Sabji</t>
        </is>
      </c>
      <c r="B19" s="15" t="inlineStr">
        <is>
          <t>Kachori Wala</t>
        </is>
      </c>
      <c r="C19" s="16" t="n">
        <v>6.11</v>
      </c>
      <c r="D19" s="15" t="n">
        <v>35</v>
      </c>
      <c r="E19" s="17" t="n">
        <v>0.175</v>
      </c>
      <c r="F19" s="16" t="n">
        <v>28.89</v>
      </c>
      <c r="G19" s="18" t="n">
        <v>0.825</v>
      </c>
    </row>
    <row r="20">
      <c r="A20" s="15" t="inlineStr">
        <is>
          <t>Butter Roti</t>
        </is>
      </c>
      <c r="B20" s="15" t="inlineStr">
        <is>
          <t>Roti</t>
        </is>
      </c>
      <c r="C20" s="16" t="n">
        <v>4.39</v>
      </c>
      <c r="D20" s="15" t="n">
        <v>25</v>
      </c>
      <c r="E20" s="17" t="n">
        <v>0.176</v>
      </c>
      <c r="F20" s="16" t="n">
        <v>20.61</v>
      </c>
      <c r="G20" s="18" t="n">
        <v>0.824</v>
      </c>
    </row>
    <row r="21">
      <c r="A21" s="15" t="inlineStr">
        <is>
          <t>Extra Kadhi</t>
        </is>
      </c>
      <c r="B21" s="15" t="inlineStr">
        <is>
          <t>Kachori Wala</t>
        </is>
      </c>
      <c r="C21" s="16" t="n">
        <v>3.52</v>
      </c>
      <c r="D21" s="15" t="n">
        <v>20</v>
      </c>
      <c r="E21" s="17" t="n">
        <v>0.176</v>
      </c>
      <c r="F21" s="16" t="n">
        <v>16.48</v>
      </c>
      <c r="G21" s="18" t="n">
        <v>0.824</v>
      </c>
    </row>
    <row r="22">
      <c r="A22" s="15" t="inlineStr">
        <is>
          <t>Masala Chaas (250ml)</t>
        </is>
      </c>
      <c r="B22" s="15" t="inlineStr">
        <is>
          <t>Lassi</t>
        </is>
      </c>
      <c r="C22" s="16" t="n">
        <v>8</v>
      </c>
      <c r="D22" s="15" t="n">
        <v>45</v>
      </c>
      <c r="E22" s="17" t="n">
        <v>0.178</v>
      </c>
      <c r="F22" s="16" t="n">
        <v>37</v>
      </c>
      <c r="G22" s="18" t="n">
        <v>0.822</v>
      </c>
    </row>
    <row r="23">
      <c r="A23" s="15" t="inlineStr">
        <is>
          <t>Moong Dal Halwa</t>
        </is>
      </c>
      <c r="B23" s="15" t="inlineStr">
        <is>
          <t>Halwa</t>
        </is>
      </c>
      <c r="C23" s="16" t="n">
        <v>16.09</v>
      </c>
      <c r="D23" s="15" t="n">
        <v>90</v>
      </c>
      <c r="E23" s="17" t="n">
        <v>0.179</v>
      </c>
      <c r="F23" s="16" t="n">
        <v>73.91</v>
      </c>
      <c r="G23" s="18" t="n">
        <v>0.821</v>
      </c>
    </row>
    <row r="24">
      <c r="A24" s="15" t="inlineStr">
        <is>
          <t>Aloo Pyaz Samosa</t>
        </is>
      </c>
      <c r="B24" s="15" t="inlineStr">
        <is>
          <t>Samosa Wala</t>
        </is>
      </c>
      <c r="C24" s="16" t="n">
        <v>5.37</v>
      </c>
      <c r="D24" s="15" t="n">
        <v>30</v>
      </c>
      <c r="E24" s="17" t="n">
        <v>0.179</v>
      </c>
      <c r="F24" s="16" t="n">
        <v>24.63</v>
      </c>
      <c r="G24" s="18" t="n">
        <v>0.821</v>
      </c>
    </row>
    <row r="25">
      <c r="A25" s="15" t="inlineStr">
        <is>
          <t>Mix Paratha</t>
        </is>
      </c>
      <c r="B25" s="15" t="inlineStr">
        <is>
          <t>Parathe</t>
        </is>
      </c>
      <c r="C25" s="16" t="n">
        <v>18.31</v>
      </c>
      <c r="D25" s="15" t="n">
        <v>99</v>
      </c>
      <c r="E25" s="17" t="n">
        <v>0.185</v>
      </c>
      <c r="F25" s="16" t="n">
        <v>80.69</v>
      </c>
      <c r="G25" s="18" t="n">
        <v>0.8149999999999999</v>
      </c>
    </row>
    <row r="26">
      <c r="A26" s="15" t="inlineStr">
        <is>
          <t>Extra Sabji</t>
        </is>
      </c>
      <c r="B26" s="15" t="inlineStr">
        <is>
          <t>Kachori Wala</t>
        </is>
      </c>
      <c r="C26" s="16" t="n">
        <v>2.88</v>
      </c>
      <c r="D26" s="15" t="n">
        <v>15</v>
      </c>
      <c r="E26" s="17" t="n">
        <v>0.192</v>
      </c>
      <c r="F26" s="16" t="n">
        <v>12.12</v>
      </c>
      <c r="G26" s="18" t="n">
        <v>0.8080000000000001</v>
      </c>
    </row>
    <row r="27">
      <c r="A27" s="15" t="inlineStr">
        <is>
          <t>Dahi Bhalla Papdi</t>
        </is>
      </c>
      <c r="B27" s="15" t="inlineStr">
        <is>
          <t>Chaat Wala</t>
        </is>
      </c>
      <c r="C27" s="16" t="n">
        <v>21.31</v>
      </c>
      <c r="D27" s="15" t="n">
        <v>110</v>
      </c>
      <c r="E27" s="17" t="n">
        <v>0.194</v>
      </c>
      <c r="F27" s="16" t="n">
        <v>88.69</v>
      </c>
      <c r="G27" s="18" t="n">
        <v>0.806</v>
      </c>
    </row>
    <row r="28">
      <c r="A28" s="15" t="inlineStr">
        <is>
          <t>Atta SPDP</t>
        </is>
      </c>
      <c r="B28" s="15" t="inlineStr">
        <is>
          <t>Poori Wala</t>
        </is>
      </c>
      <c r="C28" s="16" t="n">
        <v>13.89</v>
      </c>
      <c r="D28" s="15" t="n">
        <v>70</v>
      </c>
      <c r="E28" s="17" t="n">
        <v>0.198</v>
      </c>
      <c r="F28" s="16" t="n">
        <v>56.11</v>
      </c>
      <c r="G28" s="18" t="n">
        <v>0.802</v>
      </c>
    </row>
    <row r="29">
      <c r="A29" s="15" t="inlineStr">
        <is>
          <t>Dal Makhni Chawal</t>
        </is>
      </c>
      <c r="B29" s="15" t="inlineStr">
        <is>
          <t>Rice</t>
        </is>
      </c>
      <c r="C29" s="16" t="n">
        <v>37.3</v>
      </c>
      <c r="D29" s="15" t="n">
        <v>179</v>
      </c>
      <c r="E29" s="17" t="n">
        <v>0.208</v>
      </c>
      <c r="F29" s="16" t="n">
        <v>141.7</v>
      </c>
      <c r="G29" s="18" t="n">
        <v>0.792</v>
      </c>
    </row>
    <row r="30">
      <c r="A30" s="15" t="inlineStr">
        <is>
          <t>Plain Rice</t>
        </is>
      </c>
      <c r="B30" s="15" t="inlineStr">
        <is>
          <t>Rice</t>
        </is>
      </c>
      <c r="C30" s="16" t="n">
        <v>16.5</v>
      </c>
      <c r="D30" s="15" t="n">
        <v>79</v>
      </c>
      <c r="E30" s="17" t="n">
        <v>0.209</v>
      </c>
      <c r="F30" s="16" t="n">
        <v>62.5</v>
      </c>
      <c r="G30" s="18" t="n">
        <v>0.791</v>
      </c>
    </row>
    <row r="31">
      <c r="A31" s="15" t="inlineStr">
        <is>
          <t>Dal Tadka</t>
        </is>
      </c>
      <c r="B31" s="15" t="inlineStr">
        <is>
          <t>Dal</t>
        </is>
      </c>
      <c r="C31" s="16" t="n">
        <v>25.27</v>
      </c>
      <c r="D31" s="15" t="n">
        <v>119</v>
      </c>
      <c r="E31" s="17" t="n">
        <v>0.212</v>
      </c>
      <c r="F31" s="16" t="n">
        <v>93.73</v>
      </c>
      <c r="G31" s="18" t="n">
        <v>0.788</v>
      </c>
    </row>
    <row r="32">
      <c r="A32" s="15" t="inlineStr">
        <is>
          <t>Aloo Samosa</t>
        </is>
      </c>
      <c r="B32" s="15" t="inlineStr">
        <is>
          <t>Samosa Wala</t>
        </is>
      </c>
      <c r="C32" s="16" t="n">
        <v>5.37</v>
      </c>
      <c r="D32" s="15" t="n">
        <v>25</v>
      </c>
      <c r="E32" s="17" t="n">
        <v>0.215</v>
      </c>
      <c r="F32" s="16" t="n">
        <v>19.63</v>
      </c>
      <c r="G32" s="18" t="n">
        <v>0.785</v>
      </c>
    </row>
    <row r="33">
      <c r="A33" s="15" t="inlineStr">
        <is>
          <t>Chole Chawal</t>
        </is>
      </c>
      <c r="B33" s="15" t="inlineStr">
        <is>
          <t>Rice</t>
        </is>
      </c>
      <c r="C33" s="16" t="n">
        <v>32.33</v>
      </c>
      <c r="D33" s="15" t="n">
        <v>149</v>
      </c>
      <c r="E33" s="17" t="n">
        <v>0.217</v>
      </c>
      <c r="F33" s="16" t="n">
        <v>116.67</v>
      </c>
      <c r="G33" s="18" t="n">
        <v>0.783</v>
      </c>
    </row>
    <row r="34">
      <c r="A34" s="15" t="inlineStr">
        <is>
          <t>Bedai (plain)</t>
        </is>
      </c>
      <c r="B34" s="15" t="inlineStr">
        <is>
          <t>Kachori Wala</t>
        </is>
      </c>
      <c r="C34" s="16" t="n">
        <v>5.47</v>
      </c>
      <c r="D34" s="15" t="n">
        <v>25</v>
      </c>
      <c r="E34" s="17" t="n">
        <v>0.219</v>
      </c>
      <c r="F34" s="16" t="n">
        <v>19.53</v>
      </c>
      <c r="G34" s="18" t="n">
        <v>0.781</v>
      </c>
    </row>
    <row r="35">
      <c r="A35" s="15" t="inlineStr">
        <is>
          <t>Atta Dahi Poori</t>
        </is>
      </c>
      <c r="B35" s="15" t="inlineStr">
        <is>
          <t>Poori Wala</t>
        </is>
      </c>
      <c r="C35" s="16" t="n">
        <v>13.21</v>
      </c>
      <c r="D35" s="15" t="n">
        <v>60</v>
      </c>
      <c r="E35" s="17" t="n">
        <v>0.22</v>
      </c>
      <c r="F35" s="16" t="n">
        <v>46.79</v>
      </c>
      <c r="G35" s="18" t="n">
        <v>0.78</v>
      </c>
    </row>
    <row r="36">
      <c r="A36" s="15" t="inlineStr">
        <is>
          <t>Chole Bhature</t>
        </is>
      </c>
      <c r="B36" s="15" t="inlineStr">
        <is>
          <t>Chole Wala</t>
        </is>
      </c>
      <c r="C36" s="16" t="n">
        <v>33.23</v>
      </c>
      <c r="D36" s="15" t="n">
        <v>150</v>
      </c>
      <c r="E36" s="17" t="n">
        <v>0.222</v>
      </c>
      <c r="F36" s="16" t="n">
        <v>116.77</v>
      </c>
      <c r="G36" s="18" t="n">
        <v>0.778</v>
      </c>
    </row>
    <row r="37">
      <c r="A37" s="15" t="inlineStr">
        <is>
          <t>Paneer Paratha</t>
        </is>
      </c>
      <c r="B37" s="15" t="inlineStr">
        <is>
          <t>Parathe</t>
        </is>
      </c>
      <c r="C37" s="16" t="n">
        <v>28.8</v>
      </c>
      <c r="D37" s="15" t="n">
        <v>129</v>
      </c>
      <c r="E37" s="17" t="n">
        <v>0.223</v>
      </c>
      <c r="F37" s="16" t="n">
        <v>100.2</v>
      </c>
      <c r="G37" s="18" t="n">
        <v>0.777</v>
      </c>
    </row>
    <row r="38">
      <c r="A38" s="15" t="inlineStr">
        <is>
          <t>Dahi Kachori Chaat</t>
        </is>
      </c>
      <c r="B38" s="15" t="inlineStr">
        <is>
          <t>Chaat Wala</t>
        </is>
      </c>
      <c r="C38" s="16" t="n">
        <v>13.41</v>
      </c>
      <c r="D38" s="15" t="n">
        <v>60</v>
      </c>
      <c r="E38" s="17" t="n">
        <v>0.223</v>
      </c>
      <c r="F38" s="16" t="n">
        <v>46.59</v>
      </c>
      <c r="G38" s="18" t="n">
        <v>0.777</v>
      </c>
    </row>
    <row r="39">
      <c r="A39" s="15" t="inlineStr">
        <is>
          <t>Falahari Singada Aloo Bhajiya</t>
        </is>
      </c>
      <c r="B39" s="15" t="inlineStr">
        <is>
          <t>Falahari</t>
        </is>
      </c>
      <c r="C39" s="16" t="n">
        <v>23.5</v>
      </c>
      <c r="D39" s="15" t="n">
        <v>100</v>
      </c>
      <c r="E39" s="17" t="n">
        <v>0.235</v>
      </c>
      <c r="F39" s="16" t="n">
        <v>76.5</v>
      </c>
      <c r="G39" s="18" t="n">
        <v>0.765</v>
      </c>
    </row>
    <row r="40">
      <c r="A40" s="15" t="inlineStr">
        <is>
          <t>Plain Paratha</t>
        </is>
      </c>
      <c r="B40" s="15" t="inlineStr">
        <is>
          <t>Parathe</t>
        </is>
      </c>
      <c r="C40" s="16" t="n">
        <v>9.43</v>
      </c>
      <c r="D40" s="15" t="n">
        <v>40</v>
      </c>
      <c r="E40" s="17" t="n">
        <v>0.236</v>
      </c>
      <c r="F40" s="16" t="n">
        <v>30.57</v>
      </c>
      <c r="G40" s="18" t="n">
        <v>0.764</v>
      </c>
    </row>
    <row r="41">
      <c r="A41" s="15" t="inlineStr">
        <is>
          <t>Dahi Samosa Chaat</t>
        </is>
      </c>
      <c r="B41" s="15" t="inlineStr">
        <is>
          <t>Chaat Wala</t>
        </is>
      </c>
      <c r="C41" s="16" t="n">
        <v>14.25</v>
      </c>
      <c r="D41" s="15" t="n">
        <v>60</v>
      </c>
      <c r="E41" s="17" t="n">
        <v>0.238</v>
      </c>
      <c r="F41" s="16" t="n">
        <v>45.75</v>
      </c>
      <c r="G41" s="18" t="n">
        <v>0.762</v>
      </c>
    </row>
    <row r="42">
      <c r="A42" s="15" t="inlineStr">
        <is>
          <t>Aloo Tikki</t>
        </is>
      </c>
      <c r="B42" s="15" t="inlineStr">
        <is>
          <t>Chaat Wala</t>
        </is>
      </c>
      <c r="C42" s="16" t="n">
        <v>22.11</v>
      </c>
      <c r="D42" s="15" t="n">
        <v>90</v>
      </c>
      <c r="E42" s="17" t="n">
        <v>0.246</v>
      </c>
      <c r="F42" s="16" t="n">
        <v>67.89</v>
      </c>
      <c r="G42" s="18" t="n">
        <v>0.754</v>
      </c>
    </row>
    <row r="43">
      <c r="A43" s="15" t="inlineStr">
        <is>
          <t>Kulhad Lassi</t>
        </is>
      </c>
      <c r="B43" s="15" t="inlineStr">
        <is>
          <t>Lassi</t>
        </is>
      </c>
      <c r="C43" s="16" t="n">
        <v>17.87</v>
      </c>
      <c r="D43" s="15" t="n">
        <v>70</v>
      </c>
      <c r="E43" s="17" t="n">
        <v>0.255</v>
      </c>
      <c r="F43" s="16" t="n">
        <v>52.13</v>
      </c>
      <c r="G43" s="18" t="n">
        <v>0.745</v>
      </c>
    </row>
    <row r="44">
      <c r="A44" s="15" t="inlineStr">
        <is>
          <t>Dahi Bhalla</t>
        </is>
      </c>
      <c r="B44" s="15" t="inlineStr">
        <is>
          <t>Chaat Wala</t>
        </is>
      </c>
      <c r="C44" s="16" t="n">
        <v>23.51</v>
      </c>
      <c r="D44" s="15" t="n">
        <v>90</v>
      </c>
      <c r="E44" s="17" t="n">
        <v>0.261</v>
      </c>
      <c r="F44" s="16" t="n">
        <v>66.48999999999999</v>
      </c>
      <c r="G44" s="18" t="n">
        <v>0.739</v>
      </c>
    </row>
    <row r="45">
      <c r="A45" s="15" t="inlineStr">
        <is>
          <t>Chole Samosa Chaat</t>
        </is>
      </c>
      <c r="B45" s="15" t="inlineStr">
        <is>
          <t>Chaat Wala</t>
        </is>
      </c>
      <c r="C45" s="16" t="n">
        <v>18.38</v>
      </c>
      <c r="D45" s="15" t="n">
        <v>70</v>
      </c>
      <c r="E45" s="17" t="n">
        <v>0.263</v>
      </c>
      <c r="F45" s="16" t="n">
        <v>51.62</v>
      </c>
      <c r="G45" s="18" t="n">
        <v>0.737</v>
      </c>
    </row>
    <row r="46">
      <c r="A46" s="15" t="inlineStr">
        <is>
          <t>Dal Fry Chawal</t>
        </is>
      </c>
      <c r="B46" s="15" t="inlineStr">
        <is>
          <t>Rice</t>
        </is>
      </c>
      <c r="C46" s="16" t="n">
        <v>34.15</v>
      </c>
      <c r="D46" s="15" t="n">
        <v>129</v>
      </c>
      <c r="E46" s="17" t="n">
        <v>0.265</v>
      </c>
      <c r="F46" s="16" t="n">
        <v>94.84999999999999</v>
      </c>
      <c r="G46" s="18" t="n">
        <v>0.735</v>
      </c>
    </row>
    <row r="47">
      <c r="A47" s="15" t="inlineStr">
        <is>
          <t>Kachori Sabji</t>
        </is>
      </c>
      <c r="B47" s="15" t="inlineStr">
        <is>
          <t>Kachori Wala</t>
        </is>
      </c>
      <c r="C47" s="16" t="n">
        <v>9.27</v>
      </c>
      <c r="D47" s="15" t="n">
        <v>35</v>
      </c>
      <c r="E47" s="17" t="n">
        <v>0.265</v>
      </c>
      <c r="F47" s="16" t="n">
        <v>25.73</v>
      </c>
      <c r="G47" s="18" t="n">
        <v>0.735</v>
      </c>
    </row>
    <row r="48">
      <c r="A48" s="15" t="inlineStr">
        <is>
          <t>Sooji Dahi Poori</t>
        </is>
      </c>
      <c r="B48" s="15" t="inlineStr">
        <is>
          <t>Poori Wala</t>
        </is>
      </c>
      <c r="C48" s="16" t="n">
        <v>18.59</v>
      </c>
      <c r="D48" s="15" t="n">
        <v>70</v>
      </c>
      <c r="E48" s="17" t="n">
        <v>0.266</v>
      </c>
      <c r="F48" s="16" t="n">
        <v>51.41</v>
      </c>
      <c r="G48" s="18" t="n">
        <v>0.734</v>
      </c>
    </row>
    <row r="49">
      <c r="A49" s="15" t="inlineStr">
        <is>
          <t>Gulab Jamun</t>
        </is>
      </c>
      <c r="B49" s="15" t="inlineStr">
        <is>
          <t>Mithai</t>
        </is>
      </c>
      <c r="C49" s="16" t="n">
        <v>10.65</v>
      </c>
      <c r="D49" s="15" t="n">
        <v>40</v>
      </c>
      <c r="E49" s="17" t="n">
        <v>0.266</v>
      </c>
      <c r="F49" s="16" t="n">
        <v>29.35</v>
      </c>
      <c r="G49" s="18" t="n">
        <v>0.734</v>
      </c>
    </row>
    <row r="50">
      <c r="A50" s="15" t="inlineStr">
        <is>
          <t>Rasmalai</t>
        </is>
      </c>
      <c r="B50" s="15" t="inlineStr">
        <is>
          <t>Mithai</t>
        </is>
      </c>
      <c r="C50" s="16" t="n">
        <v>21.34</v>
      </c>
      <c r="D50" s="15" t="n">
        <v>80</v>
      </c>
      <c r="E50" s="17" t="n">
        <v>0.267</v>
      </c>
      <c r="F50" s="16" t="n">
        <v>58.66</v>
      </c>
      <c r="G50" s="18" t="n">
        <v>0.733</v>
      </c>
    </row>
    <row r="51">
      <c r="A51" s="15" t="inlineStr">
        <is>
          <t>Kesar Rabdi</t>
        </is>
      </c>
      <c r="B51" s="15" t="inlineStr">
        <is>
          <t>Mithai</t>
        </is>
      </c>
      <c r="C51" s="16" t="n">
        <v>21.41</v>
      </c>
      <c r="D51" s="15" t="n">
        <v>80</v>
      </c>
      <c r="E51" s="17" t="n">
        <v>0.268</v>
      </c>
      <c r="F51" s="16" t="n">
        <v>58.59</v>
      </c>
      <c r="G51" s="18" t="n">
        <v>0.732</v>
      </c>
    </row>
    <row r="52">
      <c r="A52" s="15" t="inlineStr">
        <is>
          <t>Kala Jamun</t>
        </is>
      </c>
      <c r="B52" s="15" t="inlineStr">
        <is>
          <t>Mithai</t>
        </is>
      </c>
      <c r="C52" s="16" t="n">
        <v>12.22</v>
      </c>
      <c r="D52" s="15" t="n">
        <v>45</v>
      </c>
      <c r="E52" s="17" t="n">
        <v>0.272</v>
      </c>
      <c r="F52" s="16" t="n">
        <v>32.78</v>
      </c>
      <c r="G52" s="18" t="n">
        <v>0.728</v>
      </c>
    </row>
    <row r="53">
      <c r="A53" s="15" t="inlineStr">
        <is>
          <t>Sooji SPDP</t>
        </is>
      </c>
      <c r="B53" s="15" t="inlineStr">
        <is>
          <t>Poori Wala</t>
        </is>
      </c>
      <c r="C53" s="16" t="n">
        <v>21.91</v>
      </c>
      <c r="D53" s="15" t="n">
        <v>80</v>
      </c>
      <c r="E53" s="17" t="n">
        <v>0.274</v>
      </c>
      <c r="F53" s="16" t="n">
        <v>58.09</v>
      </c>
      <c r="G53" s="18" t="n">
        <v>0.726</v>
      </c>
    </row>
    <row r="54">
      <c r="A54" s="15" t="inlineStr">
        <is>
          <t>Rabdi Jalebi (combo)</t>
        </is>
      </c>
      <c r="B54" s="15" t="inlineStr">
        <is>
          <t>Mithai</t>
        </is>
      </c>
      <c r="C54" s="16" t="n">
        <v>38.36</v>
      </c>
      <c r="D54" s="15" t="n">
        <v>140</v>
      </c>
      <c r="E54" s="17" t="n">
        <v>0.274</v>
      </c>
      <c r="F54" s="16" t="n">
        <v>101.64</v>
      </c>
      <c r="G54" s="18" t="n">
        <v>0.726</v>
      </c>
    </row>
    <row r="55">
      <c r="A55" s="15" t="inlineStr">
        <is>
          <t>Dahi Papri Chaat</t>
        </is>
      </c>
      <c r="B55" s="15" t="inlineStr">
        <is>
          <t>Chaat Wala</t>
        </is>
      </c>
      <c r="C55" s="16" t="n">
        <v>24.77</v>
      </c>
      <c r="D55" s="15" t="n">
        <v>90</v>
      </c>
      <c r="E55" s="17" t="n">
        <v>0.275</v>
      </c>
      <c r="F55" s="16" t="n">
        <v>65.23</v>
      </c>
      <c r="G55" s="18" t="n">
        <v>0.725</v>
      </c>
    </row>
    <row r="56">
      <c r="A56" s="15" t="inlineStr">
        <is>
          <t>Rajma Chawal</t>
        </is>
      </c>
      <c r="B56" s="15" t="inlineStr">
        <is>
          <t>Rice</t>
        </is>
      </c>
      <c r="C56" s="16" t="n">
        <v>41.12</v>
      </c>
      <c r="D56" s="15" t="n">
        <v>149</v>
      </c>
      <c r="E56" s="17" t="n">
        <v>0.276</v>
      </c>
      <c r="F56" s="16" t="n">
        <v>107.88</v>
      </c>
      <c r="G56" s="18" t="n">
        <v>0.724</v>
      </c>
    </row>
    <row r="57">
      <c r="A57" s="15" t="inlineStr">
        <is>
          <t>Dal Tadka Chawal</t>
        </is>
      </c>
      <c r="B57" s="15" t="inlineStr">
        <is>
          <t>Rice</t>
        </is>
      </c>
      <c r="C57" s="16" t="n">
        <v>41.19</v>
      </c>
      <c r="D57" s="15" t="n">
        <v>149</v>
      </c>
      <c r="E57" s="17" t="n">
        <v>0.276</v>
      </c>
      <c r="F57" s="16" t="n">
        <v>107.81</v>
      </c>
      <c r="G57" s="18" t="n">
        <v>0.724</v>
      </c>
    </row>
    <row r="58">
      <c r="A58" s="15" t="inlineStr">
        <is>
          <t>Jalebi</t>
        </is>
      </c>
      <c r="B58" s="15" t="inlineStr">
        <is>
          <t>Mithai</t>
        </is>
      </c>
      <c r="C58" s="16" t="n">
        <v>16.95</v>
      </c>
      <c r="D58" s="15" t="n">
        <v>60</v>
      </c>
      <c r="E58" s="17" t="n">
        <v>0.283</v>
      </c>
      <c r="F58" s="16" t="n">
        <v>43.05</v>
      </c>
      <c r="G58" s="18" t="n">
        <v>0.717</v>
      </c>
    </row>
    <row r="59">
      <c r="A59" s="15" t="inlineStr">
        <is>
          <t>Jodhpur Pyaz Kachori</t>
        </is>
      </c>
      <c r="B59" s="15" t="inlineStr">
        <is>
          <t>Kachori Wala</t>
        </is>
      </c>
      <c r="C59" s="16" t="n">
        <v>8.69</v>
      </c>
      <c r="D59" s="15" t="n">
        <v>30</v>
      </c>
      <c r="E59" s="17" t="n">
        <v>0.29</v>
      </c>
      <c r="F59" s="16" t="n">
        <v>21.31</v>
      </c>
      <c r="G59" s="18" t="n">
        <v>0.71</v>
      </c>
    </row>
    <row r="60">
      <c r="A60" s="15" t="inlineStr">
        <is>
          <t>Atta Sev Poori</t>
        </is>
      </c>
      <c r="B60" s="15" t="inlineStr">
        <is>
          <t>Poori Wala</t>
        </is>
      </c>
      <c r="C60" s="16" t="n">
        <v>14.59</v>
      </c>
      <c r="D60" s="15" t="n">
        <v>50</v>
      </c>
      <c r="E60" s="17" t="n">
        <v>0.292</v>
      </c>
      <c r="F60" s="16" t="n">
        <v>35.41</v>
      </c>
      <c r="G60" s="18" t="n">
        <v>0.708</v>
      </c>
    </row>
    <row r="61">
      <c r="A61" s="15" t="inlineStr">
        <is>
          <t>Lassi (Large 500ml)</t>
        </is>
      </c>
      <c r="B61" s="15" t="inlineStr">
        <is>
          <t>Lassi</t>
        </is>
      </c>
      <c r="C61" s="16" t="n">
        <v>35.74</v>
      </c>
      <c r="D61" s="15" t="n">
        <v>120</v>
      </c>
      <c r="E61" s="17" t="n">
        <v>0.298</v>
      </c>
      <c r="F61" s="16" t="n">
        <v>84.26000000000001</v>
      </c>
      <c r="G61" s="18" t="n">
        <v>0.702</v>
      </c>
    </row>
    <row r="62">
      <c r="A62" s="15" t="inlineStr">
        <is>
          <t>Matar Kulche</t>
        </is>
      </c>
      <c r="B62" s="15" t="inlineStr">
        <is>
          <t>Chole Wala</t>
        </is>
      </c>
      <c r="C62" s="16" t="n">
        <v>44.71</v>
      </c>
      <c r="D62" s="15" t="n">
        <v>150</v>
      </c>
      <c r="E62" s="17" t="n">
        <v>0.298</v>
      </c>
      <c r="F62" s="16" t="n">
        <v>105.29</v>
      </c>
      <c r="G62" s="18" t="n">
        <v>0.702</v>
      </c>
    </row>
    <row r="63">
      <c r="A63" s="15" t="inlineStr">
        <is>
          <t>Sooji Paani Puri</t>
        </is>
      </c>
      <c r="B63" s="15" t="inlineStr">
        <is>
          <t>Poori Wala</t>
        </is>
      </c>
      <c r="C63" s="16" t="n">
        <v>14.93</v>
      </c>
      <c r="D63" s="15" t="n">
        <v>50</v>
      </c>
      <c r="E63" s="17" t="n">
        <v>0.299</v>
      </c>
      <c r="F63" s="16" t="n">
        <v>35.07</v>
      </c>
      <c r="G63" s="18" t="n">
        <v>0.701</v>
      </c>
    </row>
    <row r="64">
      <c r="A64" s="15" t="inlineStr">
        <is>
          <t>Dal Khichdi</t>
        </is>
      </c>
      <c r="B64" s="15" t="inlineStr">
        <is>
          <t>Rice</t>
        </is>
      </c>
      <c r="C64" s="16" t="n">
        <v>39.35</v>
      </c>
      <c r="D64" s="15" t="n">
        <v>129</v>
      </c>
      <c r="E64" s="17" t="n">
        <v>0.305</v>
      </c>
      <c r="F64" s="16" t="n">
        <v>89.65000000000001</v>
      </c>
      <c r="G64" s="19" t="n">
        <v>0.695</v>
      </c>
    </row>
    <row r="65">
      <c r="A65" s="15" t="inlineStr">
        <is>
          <t>Chole Kachori Chaat</t>
        </is>
      </c>
      <c r="B65" s="15" t="inlineStr">
        <is>
          <t>Chaat Wala</t>
        </is>
      </c>
      <c r="C65" s="16" t="n">
        <v>21.45</v>
      </c>
      <c r="D65" s="15" t="n">
        <v>70</v>
      </c>
      <c r="E65" s="17" t="n">
        <v>0.306</v>
      </c>
      <c r="F65" s="16" t="n">
        <v>48.55</v>
      </c>
      <c r="G65" s="19" t="n">
        <v>0.694</v>
      </c>
    </row>
    <row r="66">
      <c r="A66" s="15" t="inlineStr">
        <is>
          <t>Dal Khichdi Tadka</t>
        </is>
      </c>
      <c r="B66" s="15" t="inlineStr">
        <is>
          <t>Rice</t>
        </is>
      </c>
      <c r="C66" s="16" t="n">
        <v>46.39</v>
      </c>
      <c r="D66" s="15" t="n">
        <v>149</v>
      </c>
      <c r="E66" s="17" t="n">
        <v>0.311</v>
      </c>
      <c r="F66" s="16" t="n">
        <v>102.61</v>
      </c>
      <c r="G66" s="19" t="n">
        <v>0.6889999999999999</v>
      </c>
    </row>
    <row r="67">
      <c r="A67" s="15" t="inlineStr">
        <is>
          <t>Chole Kulche</t>
        </is>
      </c>
      <c r="B67" s="15" t="inlineStr">
        <is>
          <t>Chole Wala</t>
        </is>
      </c>
      <c r="C67" s="16" t="n">
        <v>48.45</v>
      </c>
      <c r="D67" s="15" t="n">
        <v>150</v>
      </c>
      <c r="E67" s="17" t="n">
        <v>0.323</v>
      </c>
      <c r="F67" s="16" t="n">
        <v>101.55</v>
      </c>
      <c r="G67" s="19" t="n">
        <v>0.677</v>
      </c>
    </row>
    <row r="68">
      <c r="A68" s="15" t="inlineStr">
        <is>
          <t>Rasgulla</t>
        </is>
      </c>
      <c r="B68" s="15" t="inlineStr">
        <is>
          <t>Mithai</t>
        </is>
      </c>
      <c r="C68" s="16" t="n">
        <v>11.53</v>
      </c>
      <c r="D68" s="15" t="n">
        <v>35</v>
      </c>
      <c r="E68" s="17" t="n">
        <v>0.33</v>
      </c>
      <c r="F68" s="16" t="n">
        <v>23.47</v>
      </c>
      <c r="G68" s="19" t="n">
        <v>0.67</v>
      </c>
    </row>
    <row r="69">
      <c r="A69" s="15" t="inlineStr">
        <is>
          <t>Dal Kachori (plain)</t>
        </is>
      </c>
      <c r="B69" s="15" t="inlineStr">
        <is>
          <t>Kachori Wala</t>
        </is>
      </c>
      <c r="C69" s="16" t="n">
        <v>8.630000000000001</v>
      </c>
      <c r="D69" s="15" t="n">
        <v>25</v>
      </c>
      <c r="E69" s="17" t="n">
        <v>0.345</v>
      </c>
      <c r="F69" s="16" t="n">
        <v>16.37</v>
      </c>
      <c r="G69" s="19" t="n">
        <v>0.655</v>
      </c>
    </row>
    <row r="70">
      <c r="A70" s="15" t="inlineStr">
        <is>
          <t>Sooji Sev Poori</t>
        </is>
      </c>
      <c r="B70" s="15" t="inlineStr">
        <is>
          <t>Poori Wala</t>
        </is>
      </c>
      <c r="C70" s="16" t="n">
        <v>21.29</v>
      </c>
      <c r="D70" s="15" t="n">
        <v>60</v>
      </c>
      <c r="E70" s="17" t="n">
        <v>0.355</v>
      </c>
      <c r="F70" s="16" t="n">
        <v>38.71</v>
      </c>
      <c r="G70" s="19" t="n">
        <v>0.645</v>
      </c>
    </row>
    <row r="71">
      <c r="A71" s="15" t="inlineStr">
        <is>
          <t>Desi Chai</t>
        </is>
      </c>
      <c r="B71" s="15" t="inlineStr">
        <is>
          <t>Chai</t>
        </is>
      </c>
      <c r="C71" s="16" t="n">
        <v>7.13</v>
      </c>
      <c r="D71" s="15" t="n">
        <v>20</v>
      </c>
      <c r="E71" s="17" t="n">
        <v>0.356</v>
      </c>
      <c r="F71" s="16" t="n">
        <v>12.87</v>
      </c>
      <c r="G71" s="19" t="n">
        <v>0.644</v>
      </c>
    </row>
    <row r="72">
      <c r="A72" s="15" t="inlineStr">
        <is>
          <t>Raj Kachori</t>
        </is>
      </c>
      <c r="B72" s="15" t="inlineStr">
        <is>
          <t>Chaat Wala</t>
        </is>
      </c>
      <c r="C72" s="16" t="n">
        <v>36.7</v>
      </c>
      <c r="D72" s="15" t="n">
        <v>100</v>
      </c>
      <c r="E72" s="17" t="n">
        <v>0.367</v>
      </c>
      <c r="F72" s="16" t="n">
        <v>63.3</v>
      </c>
      <c r="G72" s="19" t="n">
        <v>0.633</v>
      </c>
    </row>
    <row r="73">
      <c r="A73" s="15" t="inlineStr">
        <is>
          <t>Gajar Halwa</t>
        </is>
      </c>
      <c r="B73" s="15" t="inlineStr">
        <is>
          <t>Halwa</t>
        </is>
      </c>
      <c r="C73" s="16" t="n">
        <v>32.21</v>
      </c>
      <c r="D73" s="15" t="n">
        <v>80</v>
      </c>
      <c r="E73" s="17" t="n">
        <v>0.403</v>
      </c>
      <c r="F73" s="16" t="n">
        <v>47.79</v>
      </c>
      <c r="G73" s="19" t="n">
        <v>0.597</v>
      </c>
    </row>
    <row r="74">
      <c r="A74" s="15" t="inlineStr">
        <is>
          <t>Badaam Milk</t>
        </is>
      </c>
      <c r="B74" s="15" t="inlineStr">
        <is>
          <t>Doodh</t>
        </is>
      </c>
      <c r="C74" s="16" t="n">
        <v>72.55</v>
      </c>
      <c r="D74" s="15" t="n">
        <v>170</v>
      </c>
      <c r="E74" s="17" t="n">
        <v>0.427</v>
      </c>
      <c r="F74" s="16" t="n">
        <v>97.45</v>
      </c>
      <c r="G74" s="19" t="n">
        <v>0.573</v>
      </c>
    </row>
    <row r="75">
      <c r="A75" s="15" t="inlineStr">
        <is>
          <t>Mathura Peda</t>
        </is>
      </c>
      <c r="B75" s="15" t="inlineStr">
        <is>
          <t>Mithai</t>
        </is>
      </c>
      <c r="C75" s="16" t="n">
        <v>299.76</v>
      </c>
      <c r="D75" s="15" t="n">
        <v>700</v>
      </c>
      <c r="E75" s="17" t="n">
        <v>0.428</v>
      </c>
      <c r="F75" s="16" t="n">
        <v>400.24</v>
      </c>
      <c r="G75" s="19" t="n">
        <v>0.572</v>
      </c>
    </row>
    <row r="76">
      <c r="A76" s="15" t="inlineStr">
        <is>
          <t>Moong Bhajiya</t>
        </is>
      </c>
      <c r="B76" s="15" t="inlineStr">
        <is>
          <t>Pakora</t>
        </is>
      </c>
      <c r="C76" s="16" t="n">
        <v>22.41</v>
      </c>
      <c r="D76" s="15" t="n">
        <v>50</v>
      </c>
      <c r="E76" s="17" t="n">
        <v>0.448</v>
      </c>
      <c r="F76" s="16" t="n">
        <v>27.59</v>
      </c>
      <c r="G76" s="19" t="n">
        <v>0.552</v>
      </c>
    </row>
    <row r="77">
      <c r="A77" s="15" t="inlineStr">
        <is>
          <t>Bread Pakoda</t>
        </is>
      </c>
      <c r="B77" s="15" t="inlineStr">
        <is>
          <t>Snacks</t>
        </is>
      </c>
      <c r="C77" s="16" t="n">
        <v>16.07</v>
      </c>
      <c r="D77" s="15" t="n">
        <v>35</v>
      </c>
      <c r="E77" s="17" t="n">
        <v>0.459</v>
      </c>
      <c r="F77" s="16" t="n">
        <v>18.93</v>
      </c>
      <c r="G77" s="19" t="n">
        <v>0.541</v>
      </c>
    </row>
    <row r="78">
      <c r="A78" s="15" t="inlineStr">
        <is>
          <t>Paneer Pakora</t>
        </is>
      </c>
      <c r="B78" s="15" t="inlineStr">
        <is>
          <t>Pakora</t>
        </is>
      </c>
      <c r="C78" s="16" t="n">
        <v>47.13</v>
      </c>
      <c r="D78" s="15" t="n">
        <v>99</v>
      </c>
      <c r="E78" s="17" t="n">
        <v>0.476</v>
      </c>
      <c r="F78" s="16" t="n">
        <v>51.87</v>
      </c>
      <c r="G78" s="19" t="n">
        <v>0.524</v>
      </c>
    </row>
    <row r="79">
      <c r="A79" s="15" t="inlineStr">
        <is>
          <t>Thandai</t>
        </is>
      </c>
      <c r="B79" s="15" t="inlineStr">
        <is>
          <t>Doodh</t>
        </is>
      </c>
      <c r="C79" s="16" t="n">
        <v>75.02</v>
      </c>
      <c r="D79" s="15" t="n">
        <v>150</v>
      </c>
      <c r="E79" s="17" t="n">
        <v>0.5</v>
      </c>
      <c r="F79" s="16" t="n">
        <v>74.98</v>
      </c>
      <c r="G79" s="20" t="n">
        <v>0.5</v>
      </c>
    </row>
    <row r="80">
      <c r="A80" s="15" t="inlineStr">
        <is>
          <t>Mirchi Bada</t>
        </is>
      </c>
      <c r="B80" s="15" t="inlineStr">
        <is>
          <t>Pakora</t>
        </is>
      </c>
      <c r="C80" s="16" t="n">
        <v>22.87</v>
      </c>
      <c r="D80" s="15" t="n">
        <v>40</v>
      </c>
      <c r="E80" s="17" t="n">
        <v>0.572</v>
      </c>
      <c r="F80" s="16" t="n">
        <v>17.13</v>
      </c>
      <c r="G80" s="20" t="n">
        <v>0.428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13" customWidth="1" min="4" max="4"/>
    <col width="20" customWidth="1" min="5" max="5"/>
    <col width="16" customWidth="1" min="6" max="6"/>
    <col width="12" customWidth="1" min="7" max="7"/>
    <col width="12" customWidth="1" min="8" max="8"/>
    <col width="16" customWidth="1" min="9" max="9"/>
  </cols>
  <sheetData>
    <row r="1">
      <c r="A1" s="12" t="inlineStr">
        <is>
          <t>Dish / Component</t>
        </is>
      </c>
      <c r="B1" s="12" t="inlineStr">
        <is>
          <t>Qty</t>
        </is>
      </c>
      <c r="C1" s="12" t="inlineStr">
        <is>
          <t>Unit</t>
        </is>
      </c>
      <c r="D1" s="12" t="inlineStr">
        <is>
          <t>Line Cost (₹)</t>
        </is>
      </c>
      <c r="E1" s="12" t="inlineStr">
        <is>
          <t>Plate/Serving Cost (₹)</t>
        </is>
      </c>
      <c r="F1" s="12" t="inlineStr">
        <is>
          <t>Dine-in Price (₹)</t>
        </is>
      </c>
      <c r="G1" s="12" t="inlineStr">
        <is>
          <t>Food Cost %</t>
        </is>
      </c>
      <c r="H1" s="12" t="inlineStr">
        <is>
          <t>Margin (₹)</t>
        </is>
      </c>
      <c r="I1" s="12" t="inlineStr">
        <is>
          <t>Sell Unit</t>
        </is>
      </c>
    </row>
    <row r="2">
      <c r="A2" s="21" t="inlineStr">
        <is>
          <t>KACHORI WALA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</row>
    <row r="3">
      <c r="A3" s="23" t="inlineStr">
        <is>
          <t>Kachori Sabji</t>
        </is>
      </c>
      <c r="B3" s="24" t="n"/>
      <c r="C3" s="24" t="n"/>
      <c r="D3" s="24" t="n"/>
      <c r="E3" s="25" t="n">
        <v>9.27</v>
      </c>
      <c r="F3" s="14" t="n">
        <v>35</v>
      </c>
      <c r="G3" s="26">
        <f>IF(F3=0,"",E3/F3)</f>
        <v/>
      </c>
      <c r="H3" s="27">
        <f>IF(F3=0,"",F3-E3)</f>
        <v/>
      </c>
      <c r="I3" s="24" t="inlineStr">
        <is>
          <t>plate</t>
        </is>
      </c>
    </row>
    <row r="4">
      <c r="A4" t="inlineStr">
        <is>
          <t xml:space="preserve">   Dal Kachori (pc)</t>
        </is>
      </c>
      <c r="B4" t="n">
        <v>1</v>
      </c>
      <c r="C4" t="inlineStr">
        <is>
          <t>pc</t>
        </is>
      </c>
      <c r="D4" s="13" t="n">
        <v>6.57</v>
      </c>
    </row>
    <row r="5">
      <c r="A5" t="inlineStr">
        <is>
          <t xml:space="preserve">   Hing Jhol</t>
        </is>
      </c>
      <c r="B5" t="n">
        <v>150</v>
      </c>
      <c r="C5" t="inlineStr">
        <is>
          <t>ml</t>
        </is>
      </c>
      <c r="D5" s="13" t="n">
        <v>2.7</v>
      </c>
    </row>
    <row r="6">
      <c r="A6" s="23" t="inlineStr">
        <is>
          <t>Bedai Sabji</t>
        </is>
      </c>
      <c r="B6" s="24" t="n"/>
      <c r="C6" s="24" t="n"/>
      <c r="D6" s="24" t="n"/>
      <c r="E6" s="25" t="n">
        <v>6.11</v>
      </c>
      <c r="F6" s="14" t="n">
        <v>35</v>
      </c>
      <c r="G6" s="26">
        <f>IF(F6=0,"",E6/F6)</f>
        <v/>
      </c>
      <c r="H6" s="27">
        <f>IF(F6=0,"",F6-E6)</f>
        <v/>
      </c>
      <c r="I6" s="24" t="inlineStr">
        <is>
          <t>plate</t>
        </is>
      </c>
    </row>
    <row r="7">
      <c r="A7" t="inlineStr">
        <is>
          <t xml:space="preserve">   Bedai (pc)</t>
        </is>
      </c>
      <c r="B7" t="n">
        <v>1</v>
      </c>
      <c r="C7" t="inlineStr">
        <is>
          <t>pc</t>
        </is>
      </c>
      <c r="D7" s="13" t="n">
        <v>3.42</v>
      </c>
    </row>
    <row r="8">
      <c r="A8" t="inlineStr">
        <is>
          <t xml:space="preserve">   Hing Jhol</t>
        </is>
      </c>
      <c r="B8" t="n">
        <v>150</v>
      </c>
      <c r="C8" t="inlineStr">
        <is>
          <t>ml</t>
        </is>
      </c>
      <c r="D8" s="13" t="n">
        <v>2.7</v>
      </c>
    </row>
    <row r="9">
      <c r="A9" s="23" t="inlineStr">
        <is>
          <t>Bedai (plain)</t>
        </is>
      </c>
      <c r="B9" s="24" t="n"/>
      <c r="C9" s="24" t="n"/>
      <c r="D9" s="24" t="n"/>
      <c r="E9" s="25" t="n">
        <v>5.47</v>
      </c>
      <c r="F9" s="14" t="n">
        <v>25</v>
      </c>
      <c r="G9" s="26">
        <f>IF(F9=0,"",E9/F9)</f>
        <v/>
      </c>
      <c r="H9" s="27">
        <f>IF(F9=0,"",F9-E9)</f>
        <v/>
      </c>
      <c r="I9" s="24" t="inlineStr">
        <is>
          <t>plate</t>
        </is>
      </c>
    </row>
    <row r="10">
      <c r="A10" t="inlineStr">
        <is>
          <t xml:space="preserve">   Bedai (pc)</t>
        </is>
      </c>
      <c r="B10" t="n">
        <v>1</v>
      </c>
      <c r="C10" t="inlineStr">
        <is>
          <t>pc</t>
        </is>
      </c>
      <c r="D10" s="13" t="n">
        <v>3.42</v>
      </c>
    </row>
    <row r="11">
      <c r="A11" t="inlineStr">
        <is>
          <t xml:space="preserve">   Saunth (Meethi Chatni)</t>
        </is>
      </c>
      <c r="B11" t="n">
        <v>20</v>
      </c>
      <c r="C11" t="inlineStr">
        <is>
          <t>g</t>
        </is>
      </c>
      <c r="D11" s="13" t="n">
        <v>1.21</v>
      </c>
    </row>
    <row r="12">
      <c r="A12" t="inlineStr">
        <is>
          <t xml:space="preserve">   Hari Chatni</t>
        </is>
      </c>
      <c r="B12" t="n">
        <v>20</v>
      </c>
      <c r="C12" t="inlineStr">
        <is>
          <t>g</t>
        </is>
      </c>
      <c r="D12" s="13" t="n">
        <v>0.85</v>
      </c>
    </row>
    <row r="13">
      <c r="A13" s="23" t="inlineStr">
        <is>
          <t>Dal Kachori (plain)</t>
        </is>
      </c>
      <c r="B13" s="24" t="n"/>
      <c r="C13" s="24" t="n"/>
      <c r="D13" s="24" t="n"/>
      <c r="E13" s="25" t="n">
        <v>8.630000000000001</v>
      </c>
      <c r="F13" s="14" t="n">
        <v>25</v>
      </c>
      <c r="G13" s="26">
        <f>IF(F13=0,"",E13/F13)</f>
        <v/>
      </c>
      <c r="H13" s="27">
        <f>IF(F13=0,"",F13-E13)</f>
        <v/>
      </c>
      <c r="I13" s="24" t="inlineStr">
        <is>
          <t>plate</t>
        </is>
      </c>
    </row>
    <row r="14">
      <c r="A14" t="inlineStr">
        <is>
          <t xml:space="preserve">   Dal Kachori (pc)</t>
        </is>
      </c>
      <c r="B14" t="n">
        <v>1</v>
      </c>
      <c r="C14" t="inlineStr">
        <is>
          <t>pc</t>
        </is>
      </c>
      <c r="D14" s="13" t="n">
        <v>6.57</v>
      </c>
    </row>
    <row r="15">
      <c r="A15" t="inlineStr">
        <is>
          <t xml:space="preserve">   Saunth (Meethi Chatni)</t>
        </is>
      </c>
      <c r="B15" t="n">
        <v>20</v>
      </c>
      <c r="C15" t="inlineStr">
        <is>
          <t>g</t>
        </is>
      </c>
      <c r="D15" s="13" t="n">
        <v>1.21</v>
      </c>
    </row>
    <row r="16">
      <c r="A16" t="inlineStr">
        <is>
          <t xml:space="preserve">   Hari Chatni</t>
        </is>
      </c>
      <c r="B16" t="n">
        <v>20</v>
      </c>
      <c r="C16" t="inlineStr">
        <is>
          <t>g</t>
        </is>
      </c>
      <c r="D16" s="13" t="n">
        <v>0.85</v>
      </c>
    </row>
    <row r="17">
      <c r="A17" s="23" t="inlineStr">
        <is>
          <t>Jodhpur Pyaz Kachori</t>
        </is>
      </c>
      <c r="B17" s="24" t="n"/>
      <c r="C17" s="24" t="n"/>
      <c r="D17" s="24" t="n"/>
      <c r="E17" s="25" t="n">
        <v>8.69</v>
      </c>
      <c r="F17" s="14" t="n">
        <v>30</v>
      </c>
      <c r="G17" s="26">
        <f>IF(F17=0,"",E17/F17)</f>
        <v/>
      </c>
      <c r="H17" s="27">
        <f>IF(F17=0,"",F17-E17)</f>
        <v/>
      </c>
      <c r="I17" s="24" t="inlineStr">
        <is>
          <t>plate</t>
        </is>
      </c>
    </row>
    <row r="18">
      <c r="A18" t="inlineStr">
        <is>
          <t xml:space="preserve">   Jodhpur Pyaz Kachori (pc)</t>
        </is>
      </c>
      <c r="B18" t="n">
        <v>1</v>
      </c>
      <c r="C18" t="inlineStr">
        <is>
          <t>pc</t>
        </is>
      </c>
      <c r="D18" s="13" t="n">
        <v>6.64</v>
      </c>
    </row>
    <row r="19">
      <c r="A19" t="inlineStr">
        <is>
          <t xml:space="preserve">   Saunth (Meethi Chatni)</t>
        </is>
      </c>
      <c r="B19" t="n">
        <v>20</v>
      </c>
      <c r="C19" t="inlineStr">
        <is>
          <t>g</t>
        </is>
      </c>
      <c r="D19" s="13" t="n">
        <v>1.21</v>
      </c>
    </row>
    <row r="20">
      <c r="A20" t="inlineStr">
        <is>
          <t xml:space="preserve">   Hari Chatni</t>
        </is>
      </c>
      <c r="B20" t="n">
        <v>20</v>
      </c>
      <c r="C20" t="inlineStr">
        <is>
          <t>g</t>
        </is>
      </c>
      <c r="D20" s="13" t="n">
        <v>0.85</v>
      </c>
    </row>
    <row r="21">
      <c r="A21" s="23" t="inlineStr">
        <is>
          <t>Extra Sabji</t>
        </is>
      </c>
      <c r="B21" s="24" t="n"/>
      <c r="C21" s="24" t="n"/>
      <c r="D21" s="24" t="n"/>
      <c r="E21" s="25" t="n">
        <v>2.88</v>
      </c>
      <c r="F21" s="14" t="n">
        <v>15</v>
      </c>
      <c r="G21" s="26">
        <f>IF(F21=0,"",E21/F21)</f>
        <v/>
      </c>
      <c r="H21" s="27">
        <f>IF(F21=0,"",F21-E21)</f>
        <v/>
      </c>
      <c r="I21" s="24" t="inlineStr">
        <is>
          <t>plate</t>
        </is>
      </c>
    </row>
    <row r="22">
      <c r="A22" t="inlineStr">
        <is>
          <t xml:space="preserve">   Hing Jhol</t>
        </is>
      </c>
      <c r="B22" t="n">
        <v>160</v>
      </c>
      <c r="C22" t="inlineStr">
        <is>
          <t>ml</t>
        </is>
      </c>
      <c r="D22" s="13" t="n">
        <v>2.88</v>
      </c>
    </row>
    <row r="23">
      <c r="A23" s="23" t="inlineStr">
        <is>
          <t>Extra Kadhi</t>
        </is>
      </c>
      <c r="B23" s="24" t="n"/>
      <c r="C23" s="24" t="n"/>
      <c r="D23" s="24" t="n"/>
      <c r="E23" s="25" t="n">
        <v>3.52</v>
      </c>
      <c r="F23" s="14" t="n">
        <v>20</v>
      </c>
      <c r="G23" s="26">
        <f>IF(F23=0,"",E23/F23)</f>
        <v/>
      </c>
      <c r="H23" s="27">
        <f>IF(F23=0,"",F23-E23)</f>
        <v/>
      </c>
      <c r="I23" s="24" t="inlineStr">
        <is>
          <t>plate</t>
        </is>
      </c>
    </row>
    <row r="24">
      <c r="A24" t="inlineStr">
        <is>
          <t xml:space="preserve">   Kadhi Pakora</t>
        </is>
      </c>
      <c r="B24" t="n">
        <v>100</v>
      </c>
      <c r="C24" t="inlineStr">
        <is>
          <t>ml</t>
        </is>
      </c>
      <c r="D24" s="13" t="n">
        <v>3.52</v>
      </c>
    </row>
    <row r="25">
      <c r="A25" s="21" t="inlineStr">
        <is>
          <t>SAMOSA WALA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3" t="inlineStr">
        <is>
          <t>Aloo Samosa</t>
        </is>
      </c>
      <c r="B26" s="24" t="n"/>
      <c r="C26" s="24" t="n"/>
      <c r="D26" s="24" t="n"/>
      <c r="E26" s="25" t="n">
        <v>5.37</v>
      </c>
      <c r="F26" s="14" t="n">
        <v>25</v>
      </c>
      <c r="G26" s="26">
        <f>IF(F26=0,"",E26/F26)</f>
        <v/>
      </c>
      <c r="H26" s="27">
        <f>IF(F26=0,"",F26-E26)</f>
        <v/>
      </c>
      <c r="I26" s="24" t="inlineStr">
        <is>
          <t>plate</t>
        </is>
      </c>
    </row>
    <row r="27">
      <c r="A27" t="inlineStr">
        <is>
          <t xml:space="preserve">   Aloo Samosa (pc)</t>
        </is>
      </c>
      <c r="B27" t="n">
        <v>1</v>
      </c>
      <c r="C27" t="inlineStr">
        <is>
          <t>pc</t>
        </is>
      </c>
      <c r="D27" s="13" t="n">
        <v>3.32</v>
      </c>
    </row>
    <row r="28">
      <c r="A28" t="inlineStr">
        <is>
          <t xml:space="preserve">   Saunth (Meethi Chatni)</t>
        </is>
      </c>
      <c r="B28" t="n">
        <v>20</v>
      </c>
      <c r="C28" t="inlineStr">
        <is>
          <t>g</t>
        </is>
      </c>
      <c r="D28" s="13" t="n">
        <v>1.21</v>
      </c>
    </row>
    <row r="29">
      <c r="A29" t="inlineStr">
        <is>
          <t xml:space="preserve">   Hari Chatni</t>
        </is>
      </c>
      <c r="B29" t="n">
        <v>20</v>
      </c>
      <c r="C29" t="inlineStr">
        <is>
          <t>g</t>
        </is>
      </c>
      <c r="D29" s="13" t="n">
        <v>0.85</v>
      </c>
    </row>
    <row r="30">
      <c r="A30" s="23" t="inlineStr">
        <is>
          <t>Aloo Pyaz Samosa</t>
        </is>
      </c>
      <c r="B30" s="24" t="n"/>
      <c r="C30" s="24" t="n"/>
      <c r="D30" s="24" t="n"/>
      <c r="E30" s="25" t="n">
        <v>5.37</v>
      </c>
      <c r="F30" s="14" t="n">
        <v>30</v>
      </c>
      <c r="G30" s="26">
        <f>IF(F30=0,"",E30/F30)</f>
        <v/>
      </c>
      <c r="H30" s="27">
        <f>IF(F30=0,"",F30-E30)</f>
        <v/>
      </c>
      <c r="I30" s="24" t="inlineStr">
        <is>
          <t>plate</t>
        </is>
      </c>
    </row>
    <row r="31">
      <c r="A31" t="inlineStr">
        <is>
          <t xml:space="preserve">   Aloo Pyaz Samosa (pc)</t>
        </is>
      </c>
      <c r="B31" t="n">
        <v>1</v>
      </c>
      <c r="C31" t="inlineStr">
        <is>
          <t>pc</t>
        </is>
      </c>
      <c r="D31" s="13" t="n">
        <v>3.32</v>
      </c>
    </row>
    <row r="32">
      <c r="A32" t="inlineStr">
        <is>
          <t xml:space="preserve">   Saunth (Meethi Chatni)</t>
        </is>
      </c>
      <c r="B32" t="n">
        <v>20</v>
      </c>
      <c r="C32" t="inlineStr">
        <is>
          <t>g</t>
        </is>
      </c>
      <c r="D32" s="13" t="n">
        <v>1.21</v>
      </c>
    </row>
    <row r="33">
      <c r="A33" t="inlineStr">
        <is>
          <t xml:space="preserve">   Hari Chatni</t>
        </is>
      </c>
      <c r="B33" t="n">
        <v>20</v>
      </c>
      <c r="C33" t="inlineStr">
        <is>
          <t>g</t>
        </is>
      </c>
      <c r="D33" s="13" t="n">
        <v>0.85</v>
      </c>
    </row>
    <row r="34">
      <c r="A34" s="23" t="inlineStr">
        <is>
          <t>Sabji Samosa</t>
        </is>
      </c>
      <c r="B34" s="24" t="n"/>
      <c r="C34" s="24" t="n"/>
      <c r="D34" s="24" t="n"/>
      <c r="E34" s="25" t="n">
        <v>6.01</v>
      </c>
      <c r="F34" s="14" t="n">
        <v>35</v>
      </c>
      <c r="G34" s="26">
        <f>IF(F34=0,"",E34/F34)</f>
        <v/>
      </c>
      <c r="H34" s="27">
        <f>IF(F34=0,"",F34-E34)</f>
        <v/>
      </c>
      <c r="I34" s="24" t="inlineStr">
        <is>
          <t>plate</t>
        </is>
      </c>
    </row>
    <row r="35">
      <c r="A35" t="inlineStr">
        <is>
          <t xml:space="preserve">   Aloo Samosa (pc)</t>
        </is>
      </c>
      <c r="B35" t="n">
        <v>1</v>
      </c>
      <c r="C35" t="inlineStr">
        <is>
          <t>pc</t>
        </is>
      </c>
      <c r="D35" s="13" t="n">
        <v>3.32</v>
      </c>
    </row>
    <row r="36">
      <c r="A36" t="inlineStr">
        <is>
          <t xml:space="preserve">   Hing Jhol</t>
        </is>
      </c>
      <c r="B36" t="n">
        <v>150</v>
      </c>
      <c r="C36" t="inlineStr">
        <is>
          <t>g</t>
        </is>
      </c>
      <c r="D36" s="13" t="n">
        <v>2.7</v>
      </c>
    </row>
    <row r="37">
      <c r="A37" s="23" t="inlineStr">
        <is>
          <t>Aloo Pyaz Sabji Samosa</t>
        </is>
      </c>
      <c r="B37" s="24" t="n"/>
      <c r="C37" s="24" t="n"/>
      <c r="D37" s="24" t="n"/>
      <c r="E37" s="25" t="n">
        <v>6.01</v>
      </c>
      <c r="F37" s="14" t="n">
        <v>40</v>
      </c>
      <c r="G37" s="26">
        <f>IF(F37=0,"",E37/F37)</f>
        <v/>
      </c>
      <c r="H37" s="27">
        <f>IF(F37=0,"",F37-E37)</f>
        <v/>
      </c>
      <c r="I37" s="24" t="inlineStr">
        <is>
          <t>plate</t>
        </is>
      </c>
    </row>
    <row r="38">
      <c r="A38" t="inlineStr">
        <is>
          <t xml:space="preserve">   Aloo Pyaz Samosa (pc)</t>
        </is>
      </c>
      <c r="B38" t="n">
        <v>1</v>
      </c>
      <c r="C38" t="inlineStr">
        <is>
          <t>pc</t>
        </is>
      </c>
      <c r="D38" s="13" t="n">
        <v>3.32</v>
      </c>
    </row>
    <row r="39">
      <c r="A39" t="inlineStr">
        <is>
          <t xml:space="preserve">   Hing Jhol</t>
        </is>
      </c>
      <c r="B39" t="n">
        <v>150</v>
      </c>
      <c r="C39" t="inlineStr">
        <is>
          <t>g</t>
        </is>
      </c>
      <c r="D39" s="13" t="n">
        <v>2.7</v>
      </c>
    </row>
    <row r="40">
      <c r="A40" s="21" t="inlineStr">
        <is>
          <t>CHAAT WALA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3" t="inlineStr">
        <is>
          <t>Aloo Tikki</t>
        </is>
      </c>
      <c r="B41" s="24" t="n"/>
      <c r="C41" s="24" t="n"/>
      <c r="D41" s="24" t="n"/>
      <c r="E41" s="25" t="n">
        <v>22.11</v>
      </c>
      <c r="F41" s="14" t="n">
        <v>90</v>
      </c>
      <c r="G41" s="26">
        <f>IF(F41=0,"",E41/F41)</f>
        <v/>
      </c>
      <c r="H41" s="27">
        <f>IF(F41=0,"",F41-E41)</f>
        <v/>
      </c>
      <c r="I41" s="24" t="inlineStr">
        <is>
          <t>plate</t>
        </is>
      </c>
    </row>
    <row r="42">
      <c r="A42" t="inlineStr">
        <is>
          <t xml:space="preserve">   Aloo Tikki (prep)</t>
        </is>
      </c>
      <c r="B42" t="n">
        <v>150</v>
      </c>
      <c r="C42" t="inlineStr">
        <is>
          <t>g</t>
        </is>
      </c>
      <c r="D42" s="13" t="n">
        <v>5.07</v>
      </c>
    </row>
    <row r="43">
      <c r="A43" t="inlineStr">
        <is>
          <t xml:space="preserve">   Matar (prep)</t>
        </is>
      </c>
      <c r="B43" t="n">
        <v>50</v>
      </c>
      <c r="C43" t="inlineStr">
        <is>
          <t>g</t>
        </is>
      </c>
      <c r="D43" s="13" t="n">
        <v>1.25</v>
      </c>
    </row>
    <row r="44">
      <c r="A44" t="inlineStr">
        <is>
          <t xml:space="preserve">   Hari Chatni</t>
        </is>
      </c>
      <c r="B44" t="n">
        <v>20</v>
      </c>
      <c r="C44" t="inlineStr">
        <is>
          <t>g</t>
        </is>
      </c>
      <c r="D44" s="13" t="n">
        <v>0.85</v>
      </c>
    </row>
    <row r="45">
      <c r="A45" t="inlineStr">
        <is>
          <t xml:space="preserve">   Saunth (Meethi Chatni)</t>
        </is>
      </c>
      <c r="B45" t="n">
        <v>20</v>
      </c>
      <c r="C45" t="inlineStr">
        <is>
          <t>g</t>
        </is>
      </c>
      <c r="D45" s="13" t="n">
        <v>1.21</v>
      </c>
    </row>
    <row r="46">
      <c r="A46" t="inlineStr">
        <is>
          <t xml:space="preserve">   Safed Namak</t>
        </is>
      </c>
      <c r="B46" t="n">
        <v>10</v>
      </c>
      <c r="C46" t="inlineStr">
        <is>
          <t>g</t>
        </is>
      </c>
      <c r="D46" s="13" t="n">
        <v>0.3</v>
      </c>
    </row>
    <row r="47">
      <c r="A47" t="inlineStr">
        <is>
          <t xml:space="preserve">   Lal Masala</t>
        </is>
      </c>
      <c r="B47" t="n">
        <v>10</v>
      </c>
      <c r="C47" t="inlineStr">
        <is>
          <t>g</t>
        </is>
      </c>
      <c r="D47" s="13" t="n">
        <v>3.58</v>
      </c>
    </row>
    <row r="48">
      <c r="A48" t="inlineStr">
        <is>
          <t xml:space="preserve">   Desi Ghee</t>
        </is>
      </c>
      <c r="B48" t="n">
        <v>20</v>
      </c>
      <c r="C48" t="inlineStr">
        <is>
          <t>g</t>
        </is>
      </c>
      <c r="D48" s="13" t="n">
        <v>9.859999999999999</v>
      </c>
    </row>
    <row r="49">
      <c r="A49" s="23" t="inlineStr">
        <is>
          <t>Dahi Bhalla Papdi</t>
        </is>
      </c>
      <c r="B49" s="24" t="n"/>
      <c r="C49" s="24" t="n"/>
      <c r="D49" s="24" t="n"/>
      <c r="E49" s="25" t="n">
        <v>21.31</v>
      </c>
      <c r="F49" s="14" t="n">
        <v>110</v>
      </c>
      <c r="G49" s="26">
        <f>IF(F49=0,"",E49/F49)</f>
        <v/>
      </c>
      <c r="H49" s="27">
        <f>IF(F49=0,"",F49-E49)</f>
        <v/>
      </c>
      <c r="I49" s="24" t="inlineStr">
        <is>
          <t>plate</t>
        </is>
      </c>
    </row>
    <row r="50">
      <c r="A50" t="inlineStr">
        <is>
          <t xml:space="preserve">   Dal Wada (pc)</t>
        </is>
      </c>
      <c r="B50" t="n">
        <v>1</v>
      </c>
      <c r="C50" t="inlineStr">
        <is>
          <t>pc</t>
        </is>
      </c>
      <c r="D50" s="13" t="n">
        <v>3.84</v>
      </c>
    </row>
    <row r="51">
      <c r="A51" t="inlineStr">
        <is>
          <t xml:space="preserve">   Chaat ka Papdi</t>
        </is>
      </c>
      <c r="B51" t="n">
        <v>5</v>
      </c>
      <c r="C51" t="inlineStr">
        <is>
          <t>pc</t>
        </is>
      </c>
      <c r="D51" s="13" t="n">
        <v>2.06</v>
      </c>
    </row>
    <row r="52">
      <c r="A52" t="inlineStr">
        <is>
          <t xml:space="preserve">   Lal Masala</t>
        </is>
      </c>
      <c r="B52" t="n">
        <v>20</v>
      </c>
      <c r="C52" t="inlineStr">
        <is>
          <t>g</t>
        </is>
      </c>
      <c r="D52" s="13" t="n">
        <v>7.15</v>
      </c>
    </row>
    <row r="53">
      <c r="A53" t="inlineStr">
        <is>
          <t xml:space="preserve">   Hari Chatni</t>
        </is>
      </c>
      <c r="B53" t="n">
        <v>20</v>
      </c>
      <c r="C53" t="inlineStr">
        <is>
          <t>g</t>
        </is>
      </c>
      <c r="D53" s="13" t="n">
        <v>0.85</v>
      </c>
    </row>
    <row r="54">
      <c r="A54" t="inlineStr">
        <is>
          <t xml:space="preserve">   Saunth (Meethi Chatni)</t>
        </is>
      </c>
      <c r="B54" t="n">
        <v>20</v>
      </c>
      <c r="C54" t="inlineStr">
        <is>
          <t>g</t>
        </is>
      </c>
      <c r="D54" s="13" t="n">
        <v>1.21</v>
      </c>
    </row>
    <row r="55">
      <c r="A55" t="inlineStr">
        <is>
          <t xml:space="preserve">   Dahi</t>
        </is>
      </c>
      <c r="B55" t="n">
        <v>100</v>
      </c>
      <c r="C55" t="inlineStr">
        <is>
          <t>g</t>
        </is>
      </c>
      <c r="D55" s="13" t="n">
        <v>6.2</v>
      </c>
    </row>
    <row r="56">
      <c r="A56" s="23" t="inlineStr">
        <is>
          <t>Dahi Bhalla</t>
        </is>
      </c>
      <c r="B56" s="24" t="n"/>
      <c r="C56" s="24" t="n"/>
      <c r="D56" s="24" t="n"/>
      <c r="E56" s="25" t="n">
        <v>23.51</v>
      </c>
      <c r="F56" s="14" t="n">
        <v>90</v>
      </c>
      <c r="G56" s="26">
        <f>IF(F56=0,"",E56/F56)</f>
        <v/>
      </c>
      <c r="H56" s="27">
        <f>IF(F56=0,"",F56-E56)</f>
        <v/>
      </c>
      <c r="I56" s="24" t="inlineStr">
        <is>
          <t>plate</t>
        </is>
      </c>
    </row>
    <row r="57">
      <c r="A57" t="inlineStr">
        <is>
          <t xml:space="preserve">   Dal Wada (pc)</t>
        </is>
      </c>
      <c r="B57" t="n">
        <v>2</v>
      </c>
      <c r="C57" t="inlineStr">
        <is>
          <t>pc</t>
        </is>
      </c>
      <c r="D57" s="13" t="n">
        <v>7.68</v>
      </c>
    </row>
    <row r="58">
      <c r="A58" t="inlineStr">
        <is>
          <t xml:space="preserve">   Saunth (Meethi Chatni)</t>
        </is>
      </c>
      <c r="B58" t="n">
        <v>20</v>
      </c>
      <c r="C58" t="inlineStr">
        <is>
          <t>g</t>
        </is>
      </c>
      <c r="D58" s="13" t="n">
        <v>1.21</v>
      </c>
    </row>
    <row r="59">
      <c r="A59" t="inlineStr">
        <is>
          <t xml:space="preserve">   Hari Chatni</t>
        </is>
      </c>
      <c r="B59" t="n">
        <v>20</v>
      </c>
      <c r="C59" t="inlineStr">
        <is>
          <t>g</t>
        </is>
      </c>
      <c r="D59" s="13" t="n">
        <v>0.85</v>
      </c>
    </row>
    <row r="60">
      <c r="A60" t="inlineStr">
        <is>
          <t xml:space="preserve">   Lal Masala</t>
        </is>
      </c>
      <c r="B60" t="n">
        <v>20</v>
      </c>
      <c r="C60" t="inlineStr">
        <is>
          <t>g</t>
        </is>
      </c>
      <c r="D60" s="13" t="n">
        <v>7.15</v>
      </c>
    </row>
    <row r="61">
      <c r="A61" t="inlineStr">
        <is>
          <t xml:space="preserve">   Chaat ka Dahi</t>
        </is>
      </c>
      <c r="B61" t="n">
        <v>100</v>
      </c>
      <c r="C61" t="inlineStr">
        <is>
          <t>g</t>
        </is>
      </c>
      <c r="D61" s="13" t="n">
        <v>6.63</v>
      </c>
    </row>
    <row r="62">
      <c r="A62" s="23" t="inlineStr">
        <is>
          <t>Raj Kachori</t>
        </is>
      </c>
      <c r="B62" s="24" t="n"/>
      <c r="C62" s="24" t="n"/>
      <c r="D62" s="24" t="n"/>
      <c r="E62" s="25" t="n">
        <v>36.7</v>
      </c>
      <c r="F62" s="14" t="n">
        <v>100</v>
      </c>
      <c r="G62" s="26">
        <f>IF(F62=0,"",E62/F62)</f>
        <v/>
      </c>
      <c r="H62" s="27">
        <f>IF(F62=0,"",F62-E62)</f>
        <v/>
      </c>
      <c r="I62" s="24" t="inlineStr">
        <is>
          <t>plate</t>
        </is>
      </c>
    </row>
    <row r="63">
      <c r="A63" t="inlineStr">
        <is>
          <t xml:space="preserve">   Raj Kachori Shell (pc)</t>
        </is>
      </c>
      <c r="B63" t="n">
        <v>1</v>
      </c>
      <c r="C63" t="inlineStr">
        <is>
          <t>pc</t>
        </is>
      </c>
      <c r="D63" s="13" t="n">
        <v>0.77</v>
      </c>
    </row>
    <row r="64">
      <c r="A64" t="inlineStr">
        <is>
          <t xml:space="preserve">   Dal Wada (pc)</t>
        </is>
      </c>
      <c r="B64" t="n">
        <v>1</v>
      </c>
      <c r="C64" t="inlineStr">
        <is>
          <t>pc</t>
        </is>
      </c>
      <c r="D64" s="13" t="n">
        <v>3.84</v>
      </c>
    </row>
    <row r="65">
      <c r="A65" t="inlineStr">
        <is>
          <t xml:space="preserve">   Ratlami Mixture</t>
        </is>
      </c>
      <c r="B65" t="n">
        <v>50</v>
      </c>
      <c r="C65" t="inlineStr">
        <is>
          <t>g</t>
        </is>
      </c>
      <c r="D65" s="13" t="n">
        <v>10.5</v>
      </c>
    </row>
    <row r="66">
      <c r="A66" t="inlineStr">
        <is>
          <t xml:space="preserve">   Chaat ka Papdi</t>
        </is>
      </c>
      <c r="B66" t="n">
        <v>51</v>
      </c>
      <c r="C66" t="inlineStr">
        <is>
          <t>g</t>
        </is>
      </c>
      <c r="D66" s="13" t="n">
        <v>2.63</v>
      </c>
    </row>
    <row r="67">
      <c r="A67" t="inlineStr">
        <is>
          <t xml:space="preserve">   Aloo</t>
        </is>
      </c>
      <c r="B67" t="n">
        <v>15</v>
      </c>
      <c r="C67" t="inlineStr">
        <is>
          <t>g</t>
        </is>
      </c>
      <c r="D67" s="13" t="n">
        <v>0.45</v>
      </c>
    </row>
    <row r="68">
      <c r="A68" t="inlineStr">
        <is>
          <t xml:space="preserve">   Saunth (Meethi Chatni)</t>
        </is>
      </c>
      <c r="B68" t="n">
        <v>20</v>
      </c>
      <c r="C68" t="inlineStr">
        <is>
          <t>g</t>
        </is>
      </c>
      <c r="D68" s="13" t="n">
        <v>1.21</v>
      </c>
    </row>
    <row r="69">
      <c r="A69" t="inlineStr">
        <is>
          <t xml:space="preserve">   Hari Chatni</t>
        </is>
      </c>
      <c r="B69" t="n">
        <v>20</v>
      </c>
      <c r="C69" t="inlineStr">
        <is>
          <t>g</t>
        </is>
      </c>
      <c r="D69" s="13" t="n">
        <v>0.85</v>
      </c>
    </row>
    <row r="70">
      <c r="A70" t="inlineStr">
        <is>
          <t xml:space="preserve">   Dahi</t>
        </is>
      </c>
      <c r="B70" t="n">
        <v>150</v>
      </c>
      <c r="C70" t="inlineStr">
        <is>
          <t>g</t>
        </is>
      </c>
      <c r="D70" s="13" t="n">
        <v>9.300000000000001</v>
      </c>
    </row>
    <row r="71">
      <c r="A71" t="inlineStr">
        <is>
          <t xml:space="preserve">   Lal Masala</t>
        </is>
      </c>
      <c r="B71" t="n">
        <v>20</v>
      </c>
      <c r="C71" t="inlineStr">
        <is>
          <t>g</t>
        </is>
      </c>
      <c r="D71" s="13" t="n">
        <v>7.15</v>
      </c>
    </row>
    <row r="72">
      <c r="A72" s="23" t="inlineStr">
        <is>
          <t>Dahi Papri Chaat</t>
        </is>
      </c>
      <c r="B72" s="24" t="n"/>
      <c r="C72" s="24" t="n"/>
      <c r="D72" s="24" t="n"/>
      <c r="E72" s="25" t="n">
        <v>24.77</v>
      </c>
      <c r="F72" s="14" t="n">
        <v>90</v>
      </c>
      <c r="G72" s="26">
        <f>IF(F72=0,"",E72/F72)</f>
        <v/>
      </c>
      <c r="H72" s="27">
        <f>IF(F72=0,"",F72-E72)</f>
        <v/>
      </c>
      <c r="I72" s="24" t="inlineStr">
        <is>
          <t>plate</t>
        </is>
      </c>
    </row>
    <row r="73">
      <c r="A73" t="inlineStr">
        <is>
          <t xml:space="preserve">   Chaat ka Papdi</t>
        </is>
      </c>
      <c r="B73" t="n">
        <v>170</v>
      </c>
      <c r="C73" t="inlineStr">
        <is>
          <t>g</t>
        </is>
      </c>
      <c r="D73" s="13" t="n">
        <v>8.76</v>
      </c>
    </row>
    <row r="74">
      <c r="A74" t="inlineStr">
        <is>
          <t xml:space="preserve">   Aloo</t>
        </is>
      </c>
      <c r="B74" t="n">
        <v>50</v>
      </c>
      <c r="C74" t="inlineStr">
        <is>
          <t>g</t>
        </is>
      </c>
      <c r="D74" s="13" t="n">
        <v>1.5</v>
      </c>
    </row>
    <row r="75">
      <c r="A75" t="inlineStr">
        <is>
          <t xml:space="preserve">   Hari Chatni</t>
        </is>
      </c>
      <c r="B75" t="n">
        <v>20</v>
      </c>
      <c r="C75" t="inlineStr">
        <is>
          <t>g</t>
        </is>
      </c>
      <c r="D75" s="13" t="n">
        <v>0.85</v>
      </c>
    </row>
    <row r="76">
      <c r="A76" t="inlineStr">
        <is>
          <t xml:space="preserve">   Saunth (Meethi Chatni)</t>
        </is>
      </c>
      <c r="B76" t="n">
        <v>20</v>
      </c>
      <c r="C76" t="inlineStr">
        <is>
          <t>g</t>
        </is>
      </c>
      <c r="D76" s="13" t="n">
        <v>1.21</v>
      </c>
    </row>
    <row r="77">
      <c r="A77" t="inlineStr">
        <is>
          <t xml:space="preserve">   Chaat ka Dahi</t>
        </is>
      </c>
      <c r="B77" t="n">
        <v>80</v>
      </c>
      <c r="C77" t="inlineStr">
        <is>
          <t>g</t>
        </is>
      </c>
      <c r="D77" s="13" t="n">
        <v>5.3</v>
      </c>
    </row>
    <row r="78">
      <c r="A78" t="inlineStr">
        <is>
          <t xml:space="preserve">   Lal Masala</t>
        </is>
      </c>
      <c r="B78" t="n">
        <v>20</v>
      </c>
      <c r="C78" t="inlineStr">
        <is>
          <t>g</t>
        </is>
      </c>
      <c r="D78" s="13" t="n">
        <v>7.15</v>
      </c>
    </row>
    <row r="79">
      <c r="A79" s="23" t="inlineStr">
        <is>
          <t>Aloo Chaat</t>
        </is>
      </c>
      <c r="B79" s="24" t="n"/>
      <c r="C79" s="24" t="n"/>
      <c r="D79" s="24" t="n"/>
      <c r="E79" s="25" t="n">
        <v>11.22</v>
      </c>
      <c r="F79" s="14" t="n">
        <v>70</v>
      </c>
      <c r="G79" s="26">
        <f>IF(F79=0,"",E79/F79)</f>
        <v/>
      </c>
      <c r="H79" s="27">
        <f>IF(F79=0,"",F79-E79)</f>
        <v/>
      </c>
      <c r="I79" s="24" t="inlineStr">
        <is>
          <t>plate</t>
        </is>
      </c>
    </row>
    <row r="80">
      <c r="A80" t="inlineStr">
        <is>
          <t xml:space="preserve">   Aloo</t>
        </is>
      </c>
      <c r="B80" t="n">
        <v>200</v>
      </c>
      <c r="C80" t="inlineStr">
        <is>
          <t>g</t>
        </is>
      </c>
      <c r="D80" s="13" t="n">
        <v>6</v>
      </c>
    </row>
    <row r="81">
      <c r="A81" t="inlineStr">
        <is>
          <t xml:space="preserve">   Safed Namak</t>
        </is>
      </c>
      <c r="B81" t="n">
        <v>2</v>
      </c>
      <c r="C81" t="inlineStr">
        <is>
          <t>g</t>
        </is>
      </c>
      <c r="D81" s="13" t="n">
        <v>0.06</v>
      </c>
    </row>
    <row r="82">
      <c r="A82" t="inlineStr">
        <is>
          <t xml:space="preserve">   Kali Mirch</t>
        </is>
      </c>
      <c r="B82" t="n">
        <v>2</v>
      </c>
      <c r="C82" t="inlineStr">
        <is>
          <t>g</t>
        </is>
      </c>
      <c r="D82" s="13" t="n">
        <v>1.96</v>
      </c>
    </row>
    <row r="83">
      <c r="A83" t="inlineStr">
        <is>
          <t xml:space="preserve">   Lal Masala</t>
        </is>
      </c>
      <c r="B83" t="n">
        <v>2</v>
      </c>
      <c r="C83" t="inlineStr">
        <is>
          <t>g</t>
        </is>
      </c>
      <c r="D83" s="13" t="n">
        <v>0.72</v>
      </c>
    </row>
    <row r="84">
      <c r="A84" t="inlineStr">
        <is>
          <t xml:space="preserve">   Saunth (Meethi Chatni)</t>
        </is>
      </c>
      <c r="B84" t="n">
        <v>20</v>
      </c>
      <c r="C84" t="inlineStr">
        <is>
          <t>g</t>
        </is>
      </c>
      <c r="D84" s="13" t="n">
        <v>1.21</v>
      </c>
    </row>
    <row r="85">
      <c r="A85" t="inlineStr">
        <is>
          <t xml:space="preserve">   Hari Chatni</t>
        </is>
      </c>
      <c r="B85" t="n">
        <v>30</v>
      </c>
      <c r="C85" t="inlineStr">
        <is>
          <t>g</t>
        </is>
      </c>
      <c r="D85" s="13" t="n">
        <v>1.27</v>
      </c>
    </row>
    <row r="86">
      <c r="A86" s="23" t="inlineStr">
        <is>
          <t>Papri Chaat</t>
        </is>
      </c>
      <c r="B86" s="24" t="n"/>
      <c r="C86" s="24" t="n"/>
      <c r="D86" s="24" t="n"/>
      <c r="E86" s="25" t="n">
        <v>12.9</v>
      </c>
      <c r="F86" s="14" t="n">
        <v>90</v>
      </c>
      <c r="G86" s="26">
        <f>IF(F86=0,"",E86/F86)</f>
        <v/>
      </c>
      <c r="H86" s="27">
        <f>IF(F86=0,"",F86-E86)</f>
        <v/>
      </c>
      <c r="I86" s="24" t="inlineStr">
        <is>
          <t>plate</t>
        </is>
      </c>
    </row>
    <row r="87">
      <c r="A87" t="inlineStr">
        <is>
          <t xml:space="preserve">   Chaat ka Papdi</t>
        </is>
      </c>
      <c r="B87" t="n">
        <v>85</v>
      </c>
      <c r="C87" t="inlineStr">
        <is>
          <t>g</t>
        </is>
      </c>
      <c r="D87" s="13" t="n">
        <v>4.38</v>
      </c>
    </row>
    <row r="88">
      <c r="A88" t="inlineStr">
        <is>
          <t xml:space="preserve">   Aloo</t>
        </is>
      </c>
      <c r="B88" t="n">
        <v>50</v>
      </c>
      <c r="C88" t="inlineStr">
        <is>
          <t>g</t>
        </is>
      </c>
      <c r="D88" s="13" t="n">
        <v>1.5</v>
      </c>
    </row>
    <row r="89">
      <c r="A89" t="inlineStr">
        <is>
          <t xml:space="preserve">   Hari Chatni</t>
        </is>
      </c>
      <c r="B89" t="n">
        <v>20</v>
      </c>
      <c r="C89" t="inlineStr">
        <is>
          <t>g</t>
        </is>
      </c>
      <c r="D89" s="13" t="n">
        <v>0.85</v>
      </c>
    </row>
    <row r="90">
      <c r="A90" t="inlineStr">
        <is>
          <t xml:space="preserve">   Saunth (Meethi Chatni)</t>
        </is>
      </c>
      <c r="B90" t="n">
        <v>20</v>
      </c>
      <c r="C90" t="inlineStr">
        <is>
          <t>g</t>
        </is>
      </c>
      <c r="D90" s="13" t="n">
        <v>1.21</v>
      </c>
    </row>
    <row r="91">
      <c r="A91" t="inlineStr">
        <is>
          <t xml:space="preserve">   Dahi</t>
        </is>
      </c>
      <c r="B91" t="n">
        <v>80</v>
      </c>
      <c r="C91" t="inlineStr">
        <is>
          <t>g</t>
        </is>
      </c>
      <c r="D91" s="13" t="n">
        <v>4.96</v>
      </c>
    </row>
    <row r="92">
      <c r="A92" s="23" t="inlineStr">
        <is>
          <t>Chole Samosa Chaat</t>
        </is>
      </c>
      <c r="B92" s="24" t="n"/>
      <c r="C92" s="24" t="n"/>
      <c r="D92" s="24" t="n"/>
      <c r="E92" s="25" t="n">
        <v>18.38</v>
      </c>
      <c r="F92" s="14" t="n">
        <v>70</v>
      </c>
      <c r="G92" s="26">
        <f>IF(F92=0,"",E92/F92)</f>
        <v/>
      </c>
      <c r="H92" s="27">
        <f>IF(F92=0,"",F92-E92)</f>
        <v/>
      </c>
      <c r="I92" s="24" t="inlineStr">
        <is>
          <t>plate</t>
        </is>
      </c>
    </row>
    <row r="93">
      <c r="A93" t="inlineStr">
        <is>
          <t xml:space="preserve">   Aloo Samosa (pc)</t>
        </is>
      </c>
      <c r="B93" t="n">
        <v>1</v>
      </c>
      <c r="C93" t="inlineStr">
        <is>
          <t>pc</t>
        </is>
      </c>
      <c r="D93" s="13" t="n">
        <v>3.32</v>
      </c>
    </row>
    <row r="94">
      <c r="A94" t="inlineStr">
        <is>
          <t xml:space="preserve">   Chole (Kale)</t>
        </is>
      </c>
      <c r="B94" t="n">
        <v>150</v>
      </c>
      <c r="C94" t="inlineStr">
        <is>
          <t>g</t>
        </is>
      </c>
      <c r="D94" s="13" t="n">
        <v>13.68</v>
      </c>
    </row>
    <row r="95">
      <c r="A95" t="inlineStr">
        <is>
          <t xml:space="preserve">   Hari Chatni</t>
        </is>
      </c>
      <c r="B95" t="n">
        <v>10</v>
      </c>
      <c r="C95" t="inlineStr">
        <is>
          <t>g</t>
        </is>
      </c>
      <c r="D95" s="13" t="n">
        <v>0.42</v>
      </c>
    </row>
    <row r="96">
      <c r="A96" t="inlineStr">
        <is>
          <t xml:space="preserve">   Saunth (Meethi Chatni)</t>
        </is>
      </c>
      <c r="B96" t="n">
        <v>10</v>
      </c>
      <c r="C96" t="inlineStr">
        <is>
          <t>g</t>
        </is>
      </c>
      <c r="D96" s="13" t="n">
        <v>0.6</v>
      </c>
    </row>
    <row r="97">
      <c r="A97" t="inlineStr">
        <is>
          <t xml:space="preserve">   Pyaz</t>
        </is>
      </c>
      <c r="B97" t="n">
        <v>20</v>
      </c>
      <c r="C97" t="inlineStr">
        <is>
          <t>g</t>
        </is>
      </c>
      <c r="D97" s="13" t="n">
        <v>0.36</v>
      </c>
    </row>
    <row r="98">
      <c r="A98" s="23" t="inlineStr">
        <is>
          <t>Dahi Samosa Chaat</t>
        </is>
      </c>
      <c r="B98" s="24" t="n"/>
      <c r="C98" s="24" t="n"/>
      <c r="D98" s="24" t="n"/>
      <c r="E98" s="25" t="n">
        <v>14.25</v>
      </c>
      <c r="F98" s="14" t="n">
        <v>60</v>
      </c>
      <c r="G98" s="26">
        <f>IF(F98=0,"",E98/F98)</f>
        <v/>
      </c>
      <c r="H98" s="27">
        <f>IF(F98=0,"",F98-E98)</f>
        <v/>
      </c>
      <c r="I98" s="24" t="inlineStr">
        <is>
          <t>plate</t>
        </is>
      </c>
    </row>
    <row r="99">
      <c r="A99" t="inlineStr">
        <is>
          <t xml:space="preserve">   Aloo Samosa (pc)</t>
        </is>
      </c>
      <c r="B99" t="n">
        <v>1</v>
      </c>
      <c r="C99" t="inlineStr">
        <is>
          <t>pc</t>
        </is>
      </c>
      <c r="D99" s="13" t="n">
        <v>3.32</v>
      </c>
    </row>
    <row r="100">
      <c r="A100" t="inlineStr">
        <is>
          <t xml:space="preserve">   Chaat ka Dahi</t>
        </is>
      </c>
      <c r="B100" t="n">
        <v>80</v>
      </c>
      <c r="C100" t="inlineStr">
        <is>
          <t>g</t>
        </is>
      </c>
      <c r="D100" s="13" t="n">
        <v>5.3</v>
      </c>
    </row>
    <row r="101">
      <c r="A101" t="inlineStr">
        <is>
          <t xml:space="preserve">   Saunth (Meethi Chatni)</t>
        </is>
      </c>
      <c r="B101" t="n">
        <v>20</v>
      </c>
      <c r="C101" t="inlineStr">
        <is>
          <t>g</t>
        </is>
      </c>
      <c r="D101" s="13" t="n">
        <v>1.21</v>
      </c>
    </row>
    <row r="102">
      <c r="A102" t="inlineStr">
        <is>
          <t xml:space="preserve">   Hari Chatni</t>
        </is>
      </c>
      <c r="B102" t="n">
        <v>20</v>
      </c>
      <c r="C102" t="inlineStr">
        <is>
          <t>g</t>
        </is>
      </c>
      <c r="D102" s="13" t="n">
        <v>0.85</v>
      </c>
    </row>
    <row r="103">
      <c r="A103" t="inlineStr">
        <is>
          <t xml:space="preserve">   Lal Masala</t>
        </is>
      </c>
      <c r="B103" t="n">
        <v>10</v>
      </c>
      <c r="C103" t="inlineStr">
        <is>
          <t>g</t>
        </is>
      </c>
      <c r="D103" s="13" t="n">
        <v>3.58</v>
      </c>
    </row>
    <row r="104">
      <c r="A104" s="23" t="inlineStr">
        <is>
          <t>Chole Kachori Chaat</t>
        </is>
      </c>
      <c r="B104" s="24" t="n"/>
      <c r="C104" s="24" t="n"/>
      <c r="D104" s="24" t="n"/>
      <c r="E104" s="25" t="n">
        <v>21.45</v>
      </c>
      <c r="F104" s="14" t="n">
        <v>70</v>
      </c>
      <c r="G104" s="26">
        <f>IF(F104=0,"",E104/F104)</f>
        <v/>
      </c>
      <c r="H104" s="27">
        <f>IF(F104=0,"",F104-E104)</f>
        <v/>
      </c>
      <c r="I104" s="24" t="inlineStr">
        <is>
          <t>plate</t>
        </is>
      </c>
    </row>
    <row r="105">
      <c r="A105" t="inlineStr">
        <is>
          <t xml:space="preserve">   Sabji wali Kachori (pc)</t>
        </is>
      </c>
      <c r="B105" t="n">
        <v>1</v>
      </c>
      <c r="C105" t="inlineStr">
        <is>
          <t>pc</t>
        </is>
      </c>
      <c r="D105" s="13" t="n">
        <v>6.39</v>
      </c>
    </row>
    <row r="106">
      <c r="A106" t="inlineStr">
        <is>
          <t xml:space="preserve">   Chole (Kale)</t>
        </is>
      </c>
      <c r="B106" t="n">
        <v>150</v>
      </c>
      <c r="C106" t="inlineStr">
        <is>
          <t>g</t>
        </is>
      </c>
      <c r="D106" s="13" t="n">
        <v>13.68</v>
      </c>
    </row>
    <row r="107">
      <c r="A107" t="inlineStr">
        <is>
          <t xml:space="preserve">   Saunth (Meethi Chatni)</t>
        </is>
      </c>
      <c r="B107" t="n">
        <v>10</v>
      </c>
      <c r="C107" t="inlineStr">
        <is>
          <t>g</t>
        </is>
      </c>
      <c r="D107" s="13" t="n">
        <v>0.6</v>
      </c>
    </row>
    <row r="108">
      <c r="A108" t="inlineStr">
        <is>
          <t xml:space="preserve">   Hari Chatni</t>
        </is>
      </c>
      <c r="B108" t="n">
        <v>10</v>
      </c>
      <c r="C108" t="inlineStr">
        <is>
          <t>g</t>
        </is>
      </c>
      <c r="D108" s="13" t="n">
        <v>0.42</v>
      </c>
    </row>
    <row r="109">
      <c r="A109" t="inlineStr">
        <is>
          <t xml:space="preserve">   Pyaz</t>
        </is>
      </c>
      <c r="B109" t="n">
        <v>20</v>
      </c>
      <c r="C109" t="inlineStr">
        <is>
          <t>g</t>
        </is>
      </c>
      <c r="D109" s="13" t="n">
        <v>0.36</v>
      </c>
    </row>
    <row r="110">
      <c r="A110" s="23" t="inlineStr">
        <is>
          <t>Dahi Kachori Chaat</t>
        </is>
      </c>
      <c r="B110" s="24" t="n"/>
      <c r="C110" s="24" t="n"/>
      <c r="D110" s="24" t="n"/>
      <c r="E110" s="25" t="n">
        <v>13.41</v>
      </c>
      <c r="F110" s="14" t="n">
        <v>60</v>
      </c>
      <c r="G110" s="26">
        <f>IF(F110=0,"",E110/F110)</f>
        <v/>
      </c>
      <c r="H110" s="27">
        <f>IF(F110=0,"",F110-E110)</f>
        <v/>
      </c>
      <c r="I110" s="24" t="inlineStr">
        <is>
          <t>plate</t>
        </is>
      </c>
    </row>
    <row r="111">
      <c r="A111" t="inlineStr">
        <is>
          <t xml:space="preserve">   Sabji wali Kachori (pc)</t>
        </is>
      </c>
      <c r="B111" t="n">
        <v>1</v>
      </c>
      <c r="C111" t="inlineStr">
        <is>
          <t>pc</t>
        </is>
      </c>
      <c r="D111" s="13" t="n">
        <v>6.39</v>
      </c>
    </row>
    <row r="112">
      <c r="A112" t="inlineStr">
        <is>
          <t xml:space="preserve">   Dahi</t>
        </is>
      </c>
      <c r="B112" t="n">
        <v>80</v>
      </c>
      <c r="C112" t="inlineStr">
        <is>
          <t>g</t>
        </is>
      </c>
      <c r="D112" s="13" t="n">
        <v>4.96</v>
      </c>
    </row>
    <row r="113">
      <c r="A113" t="inlineStr">
        <is>
          <t xml:space="preserve">   Saunth (Meethi Chatni)</t>
        </is>
      </c>
      <c r="B113" t="n">
        <v>20</v>
      </c>
      <c r="C113" t="inlineStr">
        <is>
          <t>g</t>
        </is>
      </c>
      <c r="D113" s="13" t="n">
        <v>1.21</v>
      </c>
    </row>
    <row r="114">
      <c r="A114" t="inlineStr">
        <is>
          <t xml:space="preserve">   Hari Chatni</t>
        </is>
      </c>
      <c r="B114" t="n">
        <v>20</v>
      </c>
      <c r="C114" t="inlineStr">
        <is>
          <t>g</t>
        </is>
      </c>
      <c r="D114" s="13" t="n">
        <v>0.85</v>
      </c>
    </row>
    <row r="115">
      <c r="A115" s="21" t="inlineStr">
        <is>
          <t>POORI WALA</t>
        </is>
      </c>
      <c r="B115" s="22" t="n"/>
      <c r="C115" s="22" t="n"/>
      <c r="D115" s="22" t="n"/>
      <c r="E115" s="22" t="n"/>
      <c r="F115" s="22" t="n"/>
      <c r="G115" s="22" t="n"/>
      <c r="H115" s="22" t="n"/>
      <c r="I115" s="22" t="n"/>
    </row>
    <row r="116">
      <c r="A116" s="23" t="inlineStr">
        <is>
          <t>Sooji Sev Poori</t>
        </is>
      </c>
      <c r="B116" s="24" t="n"/>
      <c r="C116" s="24" t="n"/>
      <c r="D116" s="24" t="n"/>
      <c r="E116" s="25" t="n">
        <v>21.29</v>
      </c>
      <c r="F116" s="14" t="n">
        <v>60</v>
      </c>
      <c r="G116" s="26">
        <f>IF(F116=0,"",E116/F116)</f>
        <v/>
      </c>
      <c r="H116" s="27">
        <f>IF(F116=0,"",F116-E116)</f>
        <v/>
      </c>
      <c r="I116" s="24" t="inlineStr">
        <is>
          <t>plate</t>
        </is>
      </c>
    </row>
    <row r="117">
      <c r="A117" t="inlineStr">
        <is>
          <t xml:space="preserve">   Sooji Poori (pc)</t>
        </is>
      </c>
      <c r="B117" t="n">
        <v>5</v>
      </c>
      <c r="C117" t="inlineStr">
        <is>
          <t>pc</t>
        </is>
      </c>
      <c r="D117" s="13" t="n">
        <v>9.949999999999999</v>
      </c>
    </row>
    <row r="118">
      <c r="A118" t="inlineStr">
        <is>
          <t xml:space="preserve">   Pani Puri Aloo Masala</t>
        </is>
      </c>
      <c r="B118" t="n">
        <v>25</v>
      </c>
      <c r="C118" t="inlineStr">
        <is>
          <t>g</t>
        </is>
      </c>
      <c r="D118" s="13" t="n">
        <v>0.92</v>
      </c>
    </row>
    <row r="119">
      <c r="A119" t="inlineStr">
        <is>
          <t xml:space="preserve">   Saunth (Meethi Chatni)</t>
        </is>
      </c>
      <c r="B119" t="n">
        <v>20</v>
      </c>
      <c r="C119" t="inlineStr">
        <is>
          <t>g</t>
        </is>
      </c>
      <c r="D119" s="13" t="n">
        <v>1.21</v>
      </c>
    </row>
    <row r="120">
      <c r="A120" t="inlineStr">
        <is>
          <t xml:space="preserve">   Hari Chatni</t>
        </is>
      </c>
      <c r="B120" t="n">
        <v>20</v>
      </c>
      <c r="C120" t="inlineStr">
        <is>
          <t>g</t>
        </is>
      </c>
      <c r="D120" s="13" t="n">
        <v>0.85</v>
      </c>
    </row>
    <row r="121">
      <c r="A121" t="inlineStr">
        <is>
          <t xml:space="preserve">   Lal Masala</t>
        </is>
      </c>
      <c r="B121" t="n">
        <v>1</v>
      </c>
      <c r="C121" t="inlineStr">
        <is>
          <t>g</t>
        </is>
      </c>
      <c r="D121" s="13" t="n">
        <v>0.36</v>
      </c>
    </row>
    <row r="122">
      <c r="A122" t="inlineStr">
        <is>
          <t xml:space="preserve">   Barik Sev</t>
        </is>
      </c>
      <c r="B122" t="n">
        <v>40</v>
      </c>
      <c r="C122" t="inlineStr">
        <is>
          <t>g</t>
        </is>
      </c>
      <c r="D122" s="13" t="n">
        <v>8</v>
      </c>
    </row>
    <row r="123">
      <c r="A123" s="23" t="inlineStr">
        <is>
          <t>Sooji Dahi Poori</t>
        </is>
      </c>
      <c r="B123" s="24" t="n"/>
      <c r="C123" s="24" t="n"/>
      <c r="D123" s="24" t="n"/>
      <c r="E123" s="25" t="n">
        <v>18.59</v>
      </c>
      <c r="F123" s="14" t="n">
        <v>70</v>
      </c>
      <c r="G123" s="26">
        <f>IF(F123=0,"",E123/F123)</f>
        <v/>
      </c>
      <c r="H123" s="27">
        <f>IF(F123=0,"",F123-E123)</f>
        <v/>
      </c>
      <c r="I123" s="24" t="inlineStr">
        <is>
          <t>plate</t>
        </is>
      </c>
    </row>
    <row r="124">
      <c r="A124" t="inlineStr">
        <is>
          <t xml:space="preserve">   Sooji Poori (pc)</t>
        </is>
      </c>
      <c r="B124" t="n">
        <v>5</v>
      </c>
      <c r="C124" t="inlineStr">
        <is>
          <t>pc</t>
        </is>
      </c>
      <c r="D124" s="13" t="n">
        <v>9.949999999999999</v>
      </c>
    </row>
    <row r="125">
      <c r="A125" t="inlineStr">
        <is>
          <t xml:space="preserve">   Pani Puri Aloo Masala</t>
        </is>
      </c>
      <c r="B125" t="n">
        <v>25</v>
      </c>
      <c r="C125" t="inlineStr">
        <is>
          <t>g</t>
        </is>
      </c>
      <c r="D125" s="13" t="n">
        <v>0.92</v>
      </c>
    </row>
    <row r="126">
      <c r="A126" t="inlineStr">
        <is>
          <t xml:space="preserve">   Saunth (Meethi Chatni)</t>
        </is>
      </c>
      <c r="B126" t="n">
        <v>20</v>
      </c>
      <c r="C126" t="inlineStr">
        <is>
          <t>g</t>
        </is>
      </c>
      <c r="D126" s="13" t="n">
        <v>1.21</v>
      </c>
    </row>
    <row r="127">
      <c r="A127" t="inlineStr">
        <is>
          <t xml:space="preserve">   Hari Chatni</t>
        </is>
      </c>
      <c r="B127" t="n">
        <v>20</v>
      </c>
      <c r="C127" t="inlineStr">
        <is>
          <t>g</t>
        </is>
      </c>
      <c r="D127" s="13" t="n">
        <v>0.85</v>
      </c>
    </row>
    <row r="128">
      <c r="A128" t="inlineStr">
        <is>
          <t xml:space="preserve">   Lal Masala</t>
        </is>
      </c>
      <c r="B128" t="n">
        <v>1</v>
      </c>
      <c r="C128" t="inlineStr">
        <is>
          <t>g</t>
        </is>
      </c>
      <c r="D128" s="13" t="n">
        <v>0.36</v>
      </c>
    </row>
    <row r="129">
      <c r="A129" t="inlineStr">
        <is>
          <t xml:space="preserve">   Chaat ka Dahi</t>
        </is>
      </c>
      <c r="B129" t="n">
        <v>80</v>
      </c>
      <c r="C129" t="inlineStr">
        <is>
          <t>g</t>
        </is>
      </c>
      <c r="D129" s="13" t="n">
        <v>5.3</v>
      </c>
    </row>
    <row r="130">
      <c r="A130" s="23" t="inlineStr">
        <is>
          <t>Sooji SPDP</t>
        </is>
      </c>
      <c r="B130" s="24" t="n"/>
      <c r="C130" s="24" t="n"/>
      <c r="D130" s="24" t="n"/>
      <c r="E130" s="25" t="n">
        <v>21.91</v>
      </c>
      <c r="F130" s="14" t="n">
        <v>80</v>
      </c>
      <c r="G130" s="26">
        <f>IF(F130=0,"",E130/F130)</f>
        <v/>
      </c>
      <c r="H130" s="27">
        <f>IF(F130=0,"",F130-E130)</f>
        <v/>
      </c>
      <c r="I130" s="24" t="inlineStr">
        <is>
          <t>plate</t>
        </is>
      </c>
    </row>
    <row r="131">
      <c r="A131" t="inlineStr">
        <is>
          <t xml:space="preserve">   Sooji Poori (pc)</t>
        </is>
      </c>
      <c r="B131" t="n">
        <v>5</v>
      </c>
      <c r="C131" t="inlineStr">
        <is>
          <t>pc</t>
        </is>
      </c>
      <c r="D131" s="13" t="n">
        <v>9.949999999999999</v>
      </c>
    </row>
    <row r="132">
      <c r="A132" t="inlineStr">
        <is>
          <t xml:space="preserve">   Pani Puri Aloo Masala</t>
        </is>
      </c>
      <c r="B132" t="n">
        <v>25</v>
      </c>
      <c r="C132" t="inlineStr">
        <is>
          <t>g</t>
        </is>
      </c>
      <c r="D132" s="13" t="n">
        <v>0.92</v>
      </c>
    </row>
    <row r="133">
      <c r="A133" t="inlineStr">
        <is>
          <t xml:space="preserve">   Saunth (Meethi Chatni)</t>
        </is>
      </c>
      <c r="B133" t="n">
        <v>20</v>
      </c>
      <c r="C133" t="inlineStr">
        <is>
          <t>g</t>
        </is>
      </c>
      <c r="D133" s="13" t="n">
        <v>1.21</v>
      </c>
    </row>
    <row r="134">
      <c r="A134" t="inlineStr">
        <is>
          <t xml:space="preserve">   Hari Chatni</t>
        </is>
      </c>
      <c r="B134" t="n">
        <v>20</v>
      </c>
      <c r="C134" t="inlineStr">
        <is>
          <t>g</t>
        </is>
      </c>
      <c r="D134" s="13" t="n">
        <v>0.85</v>
      </c>
    </row>
    <row r="135">
      <c r="A135" t="inlineStr">
        <is>
          <t xml:space="preserve">   Lal Masala</t>
        </is>
      </c>
      <c r="B135" t="n">
        <v>1</v>
      </c>
      <c r="C135" t="inlineStr">
        <is>
          <t>g</t>
        </is>
      </c>
      <c r="D135" s="13" t="n">
        <v>0.36</v>
      </c>
    </row>
    <row r="136">
      <c r="A136" t="inlineStr">
        <is>
          <t xml:space="preserve">   Barik Sev</t>
        </is>
      </c>
      <c r="B136" t="n">
        <v>10</v>
      </c>
      <c r="C136" t="inlineStr">
        <is>
          <t>g</t>
        </is>
      </c>
      <c r="D136" s="13" t="n">
        <v>2</v>
      </c>
    </row>
    <row r="137">
      <c r="A137" t="inlineStr">
        <is>
          <t xml:space="preserve">   Chaat ka Dahi</t>
        </is>
      </c>
      <c r="B137" t="n">
        <v>100</v>
      </c>
      <c r="C137" t="inlineStr">
        <is>
          <t>g</t>
        </is>
      </c>
      <c r="D137" s="13" t="n">
        <v>6.63</v>
      </c>
    </row>
    <row r="138">
      <c r="A138" s="23" t="inlineStr">
        <is>
          <t>Atta Sev Poori</t>
        </is>
      </c>
      <c r="B138" s="24" t="n"/>
      <c r="C138" s="24" t="n"/>
      <c r="D138" s="24" t="n"/>
      <c r="E138" s="25" t="n">
        <v>14.59</v>
      </c>
      <c r="F138" s="14" t="n">
        <v>50</v>
      </c>
      <c r="G138" s="26">
        <f>IF(F138=0,"",E138/F138)</f>
        <v/>
      </c>
      <c r="H138" s="27">
        <f>IF(F138=0,"",F138-E138)</f>
        <v/>
      </c>
      <c r="I138" s="24" t="inlineStr">
        <is>
          <t>plate</t>
        </is>
      </c>
    </row>
    <row r="139">
      <c r="A139" t="inlineStr">
        <is>
          <t xml:space="preserve">   Atta Puri (bought)</t>
        </is>
      </c>
      <c r="B139" t="n">
        <v>5</v>
      </c>
      <c r="C139" t="inlineStr">
        <is>
          <t>pc</t>
        </is>
      </c>
      <c r="D139" s="13" t="n">
        <v>3.25</v>
      </c>
    </row>
    <row r="140">
      <c r="A140" t="inlineStr">
        <is>
          <t xml:space="preserve">   Pani Puri Aloo Masala</t>
        </is>
      </c>
      <c r="B140" t="n">
        <v>25</v>
      </c>
      <c r="C140" t="inlineStr">
        <is>
          <t>g</t>
        </is>
      </c>
      <c r="D140" s="13" t="n">
        <v>0.92</v>
      </c>
    </row>
    <row r="141">
      <c r="A141" t="inlineStr">
        <is>
          <t xml:space="preserve">   Saunth (Meethi Chatni)</t>
        </is>
      </c>
      <c r="B141" t="n">
        <v>20</v>
      </c>
      <c r="C141" t="inlineStr">
        <is>
          <t>g</t>
        </is>
      </c>
      <c r="D141" s="13" t="n">
        <v>1.21</v>
      </c>
    </row>
    <row r="142">
      <c r="A142" t="inlineStr">
        <is>
          <t xml:space="preserve">   Hari Chatni</t>
        </is>
      </c>
      <c r="B142" t="n">
        <v>20</v>
      </c>
      <c r="C142" t="inlineStr">
        <is>
          <t>g</t>
        </is>
      </c>
      <c r="D142" s="13" t="n">
        <v>0.85</v>
      </c>
    </row>
    <row r="143">
      <c r="A143" t="inlineStr">
        <is>
          <t xml:space="preserve">   Lal Masala</t>
        </is>
      </c>
      <c r="B143" t="n">
        <v>1</v>
      </c>
      <c r="C143" t="inlineStr">
        <is>
          <t>g</t>
        </is>
      </c>
      <c r="D143" s="13" t="n">
        <v>0.36</v>
      </c>
    </row>
    <row r="144">
      <c r="A144" t="inlineStr">
        <is>
          <t xml:space="preserve">   Barik Sev</t>
        </is>
      </c>
      <c r="B144" t="n">
        <v>40</v>
      </c>
      <c r="C144" t="inlineStr">
        <is>
          <t>g</t>
        </is>
      </c>
      <c r="D144" s="13" t="n">
        <v>8</v>
      </c>
    </row>
    <row r="145">
      <c r="A145" s="23" t="inlineStr">
        <is>
          <t>Atta Dahi Poori</t>
        </is>
      </c>
      <c r="B145" s="24" t="n"/>
      <c r="C145" s="24" t="n"/>
      <c r="D145" s="24" t="n"/>
      <c r="E145" s="25" t="n">
        <v>13.21</v>
      </c>
      <c r="F145" s="14" t="n">
        <v>60</v>
      </c>
      <c r="G145" s="26">
        <f>IF(F145=0,"",E145/F145)</f>
        <v/>
      </c>
      <c r="H145" s="27">
        <f>IF(F145=0,"",F145-E145)</f>
        <v/>
      </c>
      <c r="I145" s="24" t="inlineStr">
        <is>
          <t>plate</t>
        </is>
      </c>
    </row>
    <row r="146">
      <c r="A146" t="inlineStr">
        <is>
          <t xml:space="preserve">   Atta Puri (bought)</t>
        </is>
      </c>
      <c r="B146" t="n">
        <v>5</v>
      </c>
      <c r="C146" t="inlineStr">
        <is>
          <t>pc</t>
        </is>
      </c>
      <c r="D146" s="13" t="n">
        <v>3.25</v>
      </c>
    </row>
    <row r="147">
      <c r="A147" t="inlineStr">
        <is>
          <t xml:space="preserve">   Pani Puri Aloo Masala</t>
        </is>
      </c>
      <c r="B147" t="n">
        <v>25</v>
      </c>
      <c r="C147" t="inlineStr">
        <is>
          <t>g</t>
        </is>
      </c>
      <c r="D147" s="13" t="n">
        <v>0.92</v>
      </c>
    </row>
    <row r="148">
      <c r="A148" t="inlineStr">
        <is>
          <t xml:space="preserve">   Saunth (Meethi Chatni)</t>
        </is>
      </c>
      <c r="B148" t="n">
        <v>20</v>
      </c>
      <c r="C148" t="inlineStr">
        <is>
          <t>g</t>
        </is>
      </c>
      <c r="D148" s="13" t="n">
        <v>1.21</v>
      </c>
    </row>
    <row r="149">
      <c r="A149" t="inlineStr">
        <is>
          <t xml:space="preserve">   Hari Chatni</t>
        </is>
      </c>
      <c r="B149" t="n">
        <v>20</v>
      </c>
      <c r="C149" t="inlineStr">
        <is>
          <t>g</t>
        </is>
      </c>
      <c r="D149" s="13" t="n">
        <v>0.85</v>
      </c>
    </row>
    <row r="150">
      <c r="A150" t="inlineStr">
        <is>
          <t xml:space="preserve">   Lal Masala</t>
        </is>
      </c>
      <c r="B150" t="n">
        <v>1</v>
      </c>
      <c r="C150" t="inlineStr">
        <is>
          <t>g</t>
        </is>
      </c>
      <c r="D150" s="13" t="n">
        <v>0.36</v>
      </c>
    </row>
    <row r="151">
      <c r="A151" t="inlineStr">
        <is>
          <t xml:space="preserve">   Chaat ka Dahi</t>
        </is>
      </c>
      <c r="B151" t="n">
        <v>100</v>
      </c>
      <c r="C151" t="inlineStr">
        <is>
          <t>g</t>
        </is>
      </c>
      <c r="D151" s="13" t="n">
        <v>6.63</v>
      </c>
    </row>
    <row r="152">
      <c r="A152" s="23" t="inlineStr">
        <is>
          <t>Atta SPDP</t>
        </is>
      </c>
      <c r="B152" s="24" t="n"/>
      <c r="C152" s="24" t="n"/>
      <c r="D152" s="24" t="n"/>
      <c r="E152" s="25" t="n">
        <v>13.89</v>
      </c>
      <c r="F152" s="14" t="n">
        <v>70</v>
      </c>
      <c r="G152" s="26">
        <f>IF(F152=0,"",E152/F152)</f>
        <v/>
      </c>
      <c r="H152" s="27">
        <f>IF(F152=0,"",F152-E152)</f>
        <v/>
      </c>
      <c r="I152" s="24" t="inlineStr">
        <is>
          <t>plate</t>
        </is>
      </c>
    </row>
    <row r="153">
      <c r="A153" t="inlineStr">
        <is>
          <t xml:space="preserve">   Atta Puri (bought)</t>
        </is>
      </c>
      <c r="B153" t="n">
        <v>5</v>
      </c>
      <c r="C153" t="inlineStr">
        <is>
          <t>pc</t>
        </is>
      </c>
      <c r="D153" s="13" t="n">
        <v>3.25</v>
      </c>
    </row>
    <row r="154">
      <c r="A154" t="inlineStr">
        <is>
          <t xml:space="preserve">   Pani Puri Aloo Masala</t>
        </is>
      </c>
      <c r="B154" t="n">
        <v>25</v>
      </c>
      <c r="C154" t="inlineStr">
        <is>
          <t>g</t>
        </is>
      </c>
      <c r="D154" s="13" t="n">
        <v>0.92</v>
      </c>
    </row>
    <row r="155">
      <c r="A155" t="inlineStr">
        <is>
          <t xml:space="preserve">   Saunth (Meethi Chatni)</t>
        </is>
      </c>
      <c r="B155" t="n">
        <v>20</v>
      </c>
      <c r="C155" t="inlineStr">
        <is>
          <t>g</t>
        </is>
      </c>
      <c r="D155" s="13" t="n">
        <v>1.21</v>
      </c>
    </row>
    <row r="156">
      <c r="A156" t="inlineStr">
        <is>
          <t xml:space="preserve">   Hari Chatni</t>
        </is>
      </c>
      <c r="B156" t="n">
        <v>20</v>
      </c>
      <c r="C156" t="inlineStr">
        <is>
          <t>g</t>
        </is>
      </c>
      <c r="D156" s="13" t="n">
        <v>0.85</v>
      </c>
    </row>
    <row r="157">
      <c r="A157" t="inlineStr">
        <is>
          <t xml:space="preserve">   Lal Masala</t>
        </is>
      </c>
      <c r="B157" t="n">
        <v>1</v>
      </c>
      <c r="C157" t="inlineStr">
        <is>
          <t>g</t>
        </is>
      </c>
      <c r="D157" s="13" t="n">
        <v>0.36</v>
      </c>
    </row>
    <row r="158">
      <c r="A158" t="inlineStr">
        <is>
          <t xml:space="preserve">   Barik Sev</t>
        </is>
      </c>
      <c r="B158" t="n">
        <v>10</v>
      </c>
      <c r="C158" t="inlineStr">
        <is>
          <t>g</t>
        </is>
      </c>
      <c r="D158" s="13" t="n">
        <v>2</v>
      </c>
    </row>
    <row r="159">
      <c r="A159" t="inlineStr">
        <is>
          <t xml:space="preserve">   Chaat ka Dahi</t>
        </is>
      </c>
      <c r="B159" t="n">
        <v>80</v>
      </c>
      <c r="C159" t="inlineStr">
        <is>
          <t>g</t>
        </is>
      </c>
      <c r="D159" s="13" t="n">
        <v>5.3</v>
      </c>
    </row>
    <row r="160">
      <c r="A160" s="23" t="inlineStr">
        <is>
          <t>Sooji Paani Puri</t>
        </is>
      </c>
      <c r="B160" s="24" t="n"/>
      <c r="C160" s="24" t="n"/>
      <c r="D160" s="24" t="n"/>
      <c r="E160" s="25" t="n">
        <v>14.93</v>
      </c>
      <c r="F160" s="14" t="n">
        <v>50</v>
      </c>
      <c r="G160" s="26">
        <f>IF(F160=0,"",E160/F160)</f>
        <v/>
      </c>
      <c r="H160" s="27">
        <f>IF(F160=0,"",F160-E160)</f>
        <v/>
      </c>
      <c r="I160" s="24" t="inlineStr">
        <is>
          <t>plate</t>
        </is>
      </c>
    </row>
    <row r="161">
      <c r="A161" t="inlineStr">
        <is>
          <t xml:space="preserve">   Sooji Poori (pc)</t>
        </is>
      </c>
      <c r="B161" t="n">
        <v>6</v>
      </c>
      <c r="C161" t="inlineStr">
        <is>
          <t>pc</t>
        </is>
      </c>
      <c r="D161" s="13" t="n">
        <v>11.94</v>
      </c>
    </row>
    <row r="162">
      <c r="A162" t="inlineStr">
        <is>
          <t xml:space="preserve">   Teekha Paani</t>
        </is>
      </c>
      <c r="B162" t="n">
        <v>90</v>
      </c>
      <c r="C162" t="inlineStr">
        <is>
          <t>ml</t>
        </is>
      </c>
      <c r="D162" s="13" t="n">
        <v>1.48</v>
      </c>
    </row>
    <row r="163">
      <c r="A163" t="inlineStr">
        <is>
          <t xml:space="preserve">   Meetha Paani</t>
        </is>
      </c>
      <c r="B163" t="n">
        <v>50</v>
      </c>
      <c r="C163" t="inlineStr">
        <is>
          <t>ml</t>
        </is>
      </c>
      <c r="D163" s="13" t="n">
        <v>0.6</v>
      </c>
    </row>
    <row r="164">
      <c r="A164" t="inlineStr">
        <is>
          <t xml:space="preserve">   Pani Puri Aloo Masala</t>
        </is>
      </c>
      <c r="B164" t="n">
        <v>25</v>
      </c>
      <c r="C164" t="inlineStr">
        <is>
          <t>g</t>
        </is>
      </c>
      <c r="D164" s="13" t="n">
        <v>0.92</v>
      </c>
    </row>
    <row r="165">
      <c r="A165" s="23" t="inlineStr">
        <is>
          <t>Atta Paani Puri</t>
        </is>
      </c>
      <c r="B165" s="24" t="n"/>
      <c r="C165" s="24" t="n"/>
      <c r="D165" s="24" t="n"/>
      <c r="E165" s="25" t="n">
        <v>6.89</v>
      </c>
      <c r="F165" s="14" t="n">
        <v>40</v>
      </c>
      <c r="G165" s="26">
        <f>IF(F165=0,"",E165/F165)</f>
        <v/>
      </c>
      <c r="H165" s="27">
        <f>IF(F165=0,"",F165-E165)</f>
        <v/>
      </c>
      <c r="I165" s="24" t="inlineStr">
        <is>
          <t>plate</t>
        </is>
      </c>
    </row>
    <row r="166">
      <c r="A166" t="inlineStr">
        <is>
          <t xml:space="preserve">   Atta Puri (bought)</t>
        </is>
      </c>
      <c r="B166" t="n">
        <v>6</v>
      </c>
      <c r="C166" t="inlineStr">
        <is>
          <t>pc</t>
        </is>
      </c>
      <c r="D166" s="13" t="n">
        <v>3.9</v>
      </c>
    </row>
    <row r="167">
      <c r="A167" t="inlineStr">
        <is>
          <t xml:space="preserve">   Teekha Paani</t>
        </is>
      </c>
      <c r="B167" t="n">
        <v>90</v>
      </c>
      <c r="C167" t="inlineStr">
        <is>
          <t>ml</t>
        </is>
      </c>
      <c r="D167" s="13" t="n">
        <v>1.48</v>
      </c>
    </row>
    <row r="168">
      <c r="A168" t="inlineStr">
        <is>
          <t xml:space="preserve">   Meetha Paani</t>
        </is>
      </c>
      <c r="B168" t="n">
        <v>50</v>
      </c>
      <c r="C168" t="inlineStr">
        <is>
          <t>ml</t>
        </is>
      </c>
      <c r="D168" s="13" t="n">
        <v>0.6</v>
      </c>
    </row>
    <row r="169">
      <c r="A169" t="inlineStr">
        <is>
          <t xml:space="preserve">   Pani Puri Aloo Masala</t>
        </is>
      </c>
      <c r="B169" t="n">
        <v>25</v>
      </c>
      <c r="C169" t="inlineStr">
        <is>
          <t>g</t>
        </is>
      </c>
      <c r="D169" s="13" t="n">
        <v>0.92</v>
      </c>
    </row>
    <row r="170">
      <c r="A170" s="21" t="inlineStr">
        <is>
          <t>CHOLE WALA</t>
        </is>
      </c>
      <c r="B170" s="22" t="n"/>
      <c r="C170" s="22" t="n"/>
      <c r="D170" s="22" t="n"/>
      <c r="E170" s="22" t="n"/>
      <c r="F170" s="22" t="n"/>
      <c r="G170" s="22" t="n"/>
      <c r="H170" s="22" t="n"/>
      <c r="I170" s="22" t="n"/>
    </row>
    <row r="171">
      <c r="A171" s="23" t="inlineStr">
        <is>
          <t>Chole Bhature</t>
        </is>
      </c>
      <c r="B171" s="24" t="n"/>
      <c r="C171" s="24" t="n"/>
      <c r="D171" s="24" t="n"/>
      <c r="E171" s="25" t="n">
        <v>33.23</v>
      </c>
      <c r="F171" s="14" t="n">
        <v>150</v>
      </c>
      <c r="G171" s="26">
        <f>IF(F171=0,"",E171/F171)</f>
        <v/>
      </c>
      <c r="H171" s="27">
        <f>IF(F171=0,"",F171-E171)</f>
        <v/>
      </c>
      <c r="I171" s="24" t="inlineStr">
        <is>
          <t>plate</t>
        </is>
      </c>
    </row>
    <row r="172">
      <c r="A172" t="inlineStr">
        <is>
          <t xml:space="preserve">   Bhatura (pc)</t>
        </is>
      </c>
      <c r="B172" t="n">
        <v>2</v>
      </c>
      <c r="C172" t="inlineStr">
        <is>
          <t>pc</t>
        </is>
      </c>
      <c r="D172" s="13" t="n">
        <v>4.78</v>
      </c>
    </row>
    <row r="173">
      <c r="A173" t="inlineStr">
        <is>
          <t xml:space="preserve">   Chole (Kale)</t>
        </is>
      </c>
      <c r="B173" t="n">
        <v>300</v>
      </c>
      <c r="C173" t="inlineStr">
        <is>
          <t>ml</t>
        </is>
      </c>
      <c r="D173" s="13" t="n">
        <v>27.35</v>
      </c>
    </row>
    <row r="174">
      <c r="A174" t="inlineStr">
        <is>
          <t xml:space="preserve">   Pyaz</t>
        </is>
      </c>
      <c r="B174" t="n">
        <v>30</v>
      </c>
      <c r="C174" t="inlineStr">
        <is>
          <t>g</t>
        </is>
      </c>
      <c r="D174" s="13" t="n">
        <v>0.54</v>
      </c>
    </row>
    <row r="175">
      <c r="A175" t="inlineStr">
        <is>
          <t xml:space="preserve">   Achar</t>
        </is>
      </c>
      <c r="B175" t="n">
        <v>10</v>
      </c>
      <c r="C175" t="inlineStr">
        <is>
          <t>g</t>
        </is>
      </c>
      <c r="D175" s="13" t="n">
        <v>0.5600000000000001</v>
      </c>
    </row>
    <row r="176">
      <c r="A176" s="23" t="inlineStr">
        <is>
          <t>Matar Kulche</t>
        </is>
      </c>
      <c r="B176" s="24" t="n"/>
      <c r="C176" s="24" t="n"/>
      <c r="D176" s="24" t="n"/>
      <c r="E176" s="25" t="n">
        <v>44.71</v>
      </c>
      <c r="F176" s="14" t="n">
        <v>150</v>
      </c>
      <c r="G176" s="26">
        <f>IF(F176=0,"",E176/F176)</f>
        <v/>
      </c>
      <c r="H176" s="27">
        <f>IF(F176=0,"",F176-E176)</f>
        <v/>
      </c>
      <c r="I176" s="24" t="inlineStr">
        <is>
          <t>plate</t>
        </is>
      </c>
    </row>
    <row r="177">
      <c r="A177" t="inlineStr">
        <is>
          <t xml:space="preserve">   Kulcha</t>
        </is>
      </c>
      <c r="B177" t="n">
        <v>2</v>
      </c>
      <c r="C177" t="inlineStr">
        <is>
          <t>pc</t>
        </is>
      </c>
      <c r="D177" s="13" t="n">
        <v>20</v>
      </c>
    </row>
    <row r="178">
      <c r="A178" t="inlineStr">
        <is>
          <t xml:space="preserve">   Butter</t>
        </is>
      </c>
      <c r="B178" t="n">
        <v>20</v>
      </c>
      <c r="C178" t="inlineStr">
        <is>
          <t>g</t>
        </is>
      </c>
      <c r="D178" s="13" t="n">
        <v>10.8</v>
      </c>
    </row>
    <row r="179">
      <c r="A179" t="inlineStr">
        <is>
          <t xml:space="preserve">   Tamatar</t>
        </is>
      </c>
      <c r="B179" t="n">
        <v>10</v>
      </c>
      <c r="C179" t="inlineStr">
        <is>
          <t>g</t>
        </is>
      </c>
      <c r="D179" s="13" t="n">
        <v>0.4</v>
      </c>
    </row>
    <row r="180">
      <c r="A180" t="inlineStr">
        <is>
          <t xml:space="preserve">   Hara Mircha</t>
        </is>
      </c>
      <c r="B180" t="n">
        <v>5</v>
      </c>
      <c r="C180" t="inlineStr">
        <is>
          <t>g</t>
        </is>
      </c>
      <c r="D180" s="13" t="n">
        <v>0.35</v>
      </c>
    </row>
    <row r="181">
      <c r="A181" t="inlineStr">
        <is>
          <t xml:space="preserve">   Matar (prep)</t>
        </is>
      </c>
      <c r="B181" t="n">
        <v>200</v>
      </c>
      <c r="C181" t="inlineStr">
        <is>
          <t>g</t>
        </is>
      </c>
      <c r="D181" s="13" t="n">
        <v>5.01</v>
      </c>
    </row>
    <row r="182">
      <c r="A182" t="inlineStr">
        <is>
          <t xml:space="preserve">   Lal Mirch</t>
        </is>
      </c>
      <c r="B182" t="n">
        <v>2</v>
      </c>
      <c r="C182" t="inlineStr">
        <is>
          <t>g</t>
        </is>
      </c>
      <c r="D182" s="13" t="n">
        <v>0.88</v>
      </c>
    </row>
    <row r="183">
      <c r="A183" t="inlineStr">
        <is>
          <t xml:space="preserve">   Safed Namak</t>
        </is>
      </c>
      <c r="B183" t="n">
        <v>4</v>
      </c>
      <c r="C183" t="inlineStr">
        <is>
          <t>g</t>
        </is>
      </c>
      <c r="D183" s="13" t="n">
        <v>0.12</v>
      </c>
    </row>
    <row r="184">
      <c r="A184" t="inlineStr">
        <is>
          <t xml:space="preserve">   Lal Masala</t>
        </is>
      </c>
      <c r="B184" t="n">
        <v>20</v>
      </c>
      <c r="C184" t="inlineStr">
        <is>
          <t>g</t>
        </is>
      </c>
      <c r="D184" s="13" t="n">
        <v>7.15</v>
      </c>
    </row>
    <row r="185">
      <c r="A185" s="21" t="inlineStr">
        <is>
          <t>SNACKS</t>
        </is>
      </c>
      <c r="B185" s="22" t="n"/>
      <c r="C185" s="22" t="n"/>
      <c r="D185" s="22" t="n"/>
      <c r="E185" s="22" t="n"/>
      <c r="F185" s="22" t="n"/>
      <c r="G185" s="22" t="n"/>
      <c r="H185" s="22" t="n"/>
      <c r="I185" s="22" t="n"/>
    </row>
    <row r="186">
      <c r="A186" s="23" t="inlineStr">
        <is>
          <t>Bread Pakoda</t>
        </is>
      </c>
      <c r="B186" s="24" t="n"/>
      <c r="C186" s="24" t="n"/>
      <c r="D186" s="24" t="n"/>
      <c r="E186" s="25" t="n">
        <v>16.07</v>
      </c>
      <c r="F186" s="14" t="n">
        <v>35</v>
      </c>
      <c r="G186" s="26">
        <f>IF(F186=0,"",E186/F186)</f>
        <v/>
      </c>
      <c r="H186" s="27">
        <f>IF(F186=0,"",F186-E186)</f>
        <v/>
      </c>
      <c r="I186" s="24" t="inlineStr">
        <is>
          <t>plate</t>
        </is>
      </c>
    </row>
    <row r="187">
      <c r="A187" t="inlineStr">
        <is>
          <t xml:space="preserve">   Bread</t>
        </is>
      </c>
      <c r="B187" t="n">
        <v>1</v>
      </c>
      <c r="C187" t="inlineStr">
        <is>
          <t>pc</t>
        </is>
      </c>
      <c r="D187" s="13" t="n">
        <v>6.67</v>
      </c>
    </row>
    <row r="188">
      <c r="A188" t="inlineStr">
        <is>
          <t xml:space="preserve">   Besan</t>
        </is>
      </c>
      <c r="B188" t="n">
        <v>83</v>
      </c>
      <c r="C188" t="inlineStr">
        <is>
          <t>g</t>
        </is>
      </c>
      <c r="D188" s="13" t="n">
        <v>7.06</v>
      </c>
    </row>
    <row r="189">
      <c r="A189" t="inlineStr">
        <is>
          <t xml:space="preserve">   Paani</t>
        </is>
      </c>
      <c r="B189" t="n">
        <v>100</v>
      </c>
      <c r="C189" t="inlineStr">
        <is>
          <t>g</t>
        </is>
      </c>
      <c r="D189" s="13" t="n">
        <v>0</v>
      </c>
    </row>
    <row r="190">
      <c r="A190" t="inlineStr">
        <is>
          <t xml:space="preserve">   Safed Namak</t>
        </is>
      </c>
      <c r="B190" t="n">
        <v>2.5</v>
      </c>
      <c r="C190" t="inlineStr">
        <is>
          <t>g</t>
        </is>
      </c>
      <c r="D190" s="13" t="n">
        <v>0.07000000000000001</v>
      </c>
    </row>
    <row r="191">
      <c r="A191" t="inlineStr">
        <is>
          <t xml:space="preserve">   Baking Powder</t>
        </is>
      </c>
      <c r="B191" t="n">
        <v>1.7</v>
      </c>
      <c r="C191" t="inlineStr">
        <is>
          <t>g</t>
        </is>
      </c>
      <c r="D191" s="13" t="n">
        <v>0.22</v>
      </c>
    </row>
    <row r="192">
      <c r="A192" t="inlineStr">
        <is>
          <t xml:space="preserve">   Hari Chatni</t>
        </is>
      </c>
      <c r="B192" t="n">
        <v>20</v>
      </c>
      <c r="C192" t="inlineStr">
        <is>
          <t>g</t>
        </is>
      </c>
      <c r="D192" s="13" t="n">
        <v>0.85</v>
      </c>
    </row>
    <row r="193">
      <c r="A193" t="inlineStr">
        <is>
          <t xml:space="preserve">   Saunth (Meethi Chatni)</t>
        </is>
      </c>
      <c r="B193" t="n">
        <v>20</v>
      </c>
      <c r="C193" t="inlineStr">
        <is>
          <t>g</t>
        </is>
      </c>
      <c r="D193" s="13" t="n">
        <v>1.21</v>
      </c>
    </row>
    <row r="194">
      <c r="A194" s="21" t="inlineStr">
        <is>
          <t>RICE</t>
        </is>
      </c>
      <c r="B194" s="22" t="n"/>
      <c r="C194" s="22" t="n"/>
      <c r="D194" s="22" t="n"/>
      <c r="E194" s="22" t="n"/>
      <c r="F194" s="22" t="n"/>
      <c r="G194" s="22" t="n"/>
      <c r="H194" s="22" t="n"/>
      <c r="I194" s="22" t="n"/>
    </row>
    <row r="195">
      <c r="A195" s="23" t="inlineStr">
        <is>
          <t>Plain Rice</t>
        </is>
      </c>
      <c r="B195" s="24" t="n"/>
      <c r="C195" s="24" t="n"/>
      <c r="D195" s="24" t="n"/>
      <c r="E195" s="25" t="n">
        <v>16.5</v>
      </c>
      <c r="F195" s="14" t="n">
        <v>79</v>
      </c>
      <c r="G195" s="26">
        <f>IF(F195=0,"",E195/F195)</f>
        <v/>
      </c>
      <c r="H195" s="27">
        <f>IF(F195=0,"",F195-E195)</f>
        <v/>
      </c>
      <c r="I195" s="24" t="inlineStr">
        <is>
          <t>plate</t>
        </is>
      </c>
    </row>
    <row r="196">
      <c r="A196" t="inlineStr">
        <is>
          <t xml:space="preserve">   Chawal</t>
        </is>
      </c>
      <c r="B196" t="n">
        <v>220</v>
      </c>
      <c r="C196" t="inlineStr">
        <is>
          <t>g</t>
        </is>
      </c>
      <c r="D196" s="13" t="n">
        <v>16.5</v>
      </c>
    </row>
    <row r="197">
      <c r="A197" s="23" t="inlineStr">
        <is>
          <t>Chole Chawal</t>
        </is>
      </c>
      <c r="B197" s="24" t="n"/>
      <c r="C197" s="24" t="n"/>
      <c r="D197" s="24" t="n"/>
      <c r="E197" s="25" t="n">
        <v>32.33</v>
      </c>
      <c r="F197" s="14" t="n">
        <v>149</v>
      </c>
      <c r="G197" s="26">
        <f>IF(F197=0,"",E197/F197)</f>
        <v/>
      </c>
      <c r="H197" s="27">
        <f>IF(F197=0,"",F197-E197)</f>
        <v/>
      </c>
      <c r="I197" s="24" t="inlineStr">
        <is>
          <t>plate</t>
        </is>
      </c>
    </row>
    <row r="198">
      <c r="A198" t="inlineStr">
        <is>
          <t xml:space="preserve">   Chole (Kale)</t>
        </is>
      </c>
      <c r="B198" t="n">
        <v>180</v>
      </c>
      <c r="C198" t="inlineStr">
        <is>
          <t>g</t>
        </is>
      </c>
      <c r="D198" s="13" t="n">
        <v>16.41</v>
      </c>
    </row>
    <row r="199">
      <c r="A199" t="inlineStr">
        <is>
          <t xml:space="preserve">   Chawal</t>
        </is>
      </c>
      <c r="B199" t="n">
        <v>200</v>
      </c>
      <c r="C199" t="inlineStr">
        <is>
          <t>g</t>
        </is>
      </c>
      <c r="D199" s="13" t="n">
        <v>15</v>
      </c>
    </row>
    <row r="200">
      <c r="A200" t="inlineStr">
        <is>
          <t xml:space="preserve">   Pyaz</t>
        </is>
      </c>
      <c r="B200" t="n">
        <v>20</v>
      </c>
      <c r="C200" t="inlineStr">
        <is>
          <t>g</t>
        </is>
      </c>
      <c r="D200" s="13" t="n">
        <v>0.36</v>
      </c>
    </row>
    <row r="201">
      <c r="A201" t="inlineStr">
        <is>
          <t xml:space="preserve">   Achar</t>
        </is>
      </c>
      <c r="B201" t="n">
        <v>10</v>
      </c>
      <c r="C201" t="inlineStr">
        <is>
          <t>g</t>
        </is>
      </c>
      <c r="D201" s="13" t="n">
        <v>0.5600000000000001</v>
      </c>
    </row>
    <row r="202">
      <c r="A202" s="23" t="inlineStr">
        <is>
          <t>Rajma Chawal</t>
        </is>
      </c>
      <c r="B202" s="24" t="n"/>
      <c r="C202" s="24" t="n"/>
      <c r="D202" s="24" t="n"/>
      <c r="E202" s="25" t="n">
        <v>41.12</v>
      </c>
      <c r="F202" s="14" t="n">
        <v>149</v>
      </c>
      <c r="G202" s="26">
        <f>IF(F202=0,"",E202/F202)</f>
        <v/>
      </c>
      <c r="H202" s="27">
        <f>IF(F202=0,"",F202-E202)</f>
        <v/>
      </c>
      <c r="I202" s="24" t="inlineStr">
        <is>
          <t>plate</t>
        </is>
      </c>
    </row>
    <row r="203">
      <c r="A203" t="inlineStr">
        <is>
          <t xml:space="preserve">   Rajma</t>
        </is>
      </c>
      <c r="B203" t="n">
        <v>180</v>
      </c>
      <c r="C203" t="inlineStr">
        <is>
          <t>g</t>
        </is>
      </c>
      <c r="D203" s="13" t="n">
        <v>25.2</v>
      </c>
    </row>
    <row r="204">
      <c r="A204" t="inlineStr">
        <is>
          <t xml:space="preserve">   Chawal</t>
        </is>
      </c>
      <c r="B204" t="n">
        <v>200</v>
      </c>
      <c r="C204" t="inlineStr">
        <is>
          <t>g</t>
        </is>
      </c>
      <c r="D204" s="13" t="n">
        <v>15</v>
      </c>
    </row>
    <row r="205">
      <c r="A205" t="inlineStr">
        <is>
          <t xml:space="preserve">   Pyaz</t>
        </is>
      </c>
      <c r="B205" t="n">
        <v>20</v>
      </c>
      <c r="C205" t="inlineStr">
        <is>
          <t>g</t>
        </is>
      </c>
      <c r="D205" s="13" t="n">
        <v>0.36</v>
      </c>
    </row>
    <row r="206">
      <c r="A206" t="inlineStr">
        <is>
          <t xml:space="preserve">   Achar</t>
        </is>
      </c>
      <c r="B206" t="n">
        <v>10</v>
      </c>
      <c r="C206" t="inlineStr">
        <is>
          <t>g</t>
        </is>
      </c>
      <c r="D206" s="13" t="n">
        <v>0.5600000000000001</v>
      </c>
    </row>
    <row r="207">
      <c r="A207" s="23" t="inlineStr">
        <is>
          <t>Dal Makhni Chawal</t>
        </is>
      </c>
      <c r="B207" s="24" t="n"/>
      <c r="C207" s="24" t="n"/>
      <c r="D207" s="24" t="n"/>
      <c r="E207" s="25" t="n">
        <v>37.3</v>
      </c>
      <c r="F207" s="14" t="n">
        <v>179</v>
      </c>
      <c r="G207" s="26">
        <f>IF(F207=0,"",E207/F207)</f>
        <v/>
      </c>
      <c r="H207" s="27">
        <f>IF(F207=0,"",F207-E207)</f>
        <v/>
      </c>
      <c r="I207" s="24" t="inlineStr">
        <is>
          <t>plate</t>
        </is>
      </c>
    </row>
    <row r="208">
      <c r="A208" t="inlineStr">
        <is>
          <t xml:space="preserve">   Dal Makhni</t>
        </is>
      </c>
      <c r="B208" t="n">
        <v>180</v>
      </c>
      <c r="C208" t="inlineStr">
        <is>
          <t>g</t>
        </is>
      </c>
      <c r="D208" s="13" t="n">
        <v>21.38</v>
      </c>
    </row>
    <row r="209">
      <c r="A209" t="inlineStr">
        <is>
          <t xml:space="preserve">   Chawal</t>
        </is>
      </c>
      <c r="B209" t="n">
        <v>200</v>
      </c>
      <c r="C209" t="inlineStr">
        <is>
          <t>g</t>
        </is>
      </c>
      <c r="D209" s="13" t="n">
        <v>15</v>
      </c>
    </row>
    <row r="210">
      <c r="A210" t="inlineStr">
        <is>
          <t xml:space="preserve">   Pyaz</t>
        </is>
      </c>
      <c r="B210" t="n">
        <v>20</v>
      </c>
      <c r="C210" t="inlineStr">
        <is>
          <t>g</t>
        </is>
      </c>
      <c r="D210" s="13" t="n">
        <v>0.36</v>
      </c>
    </row>
    <row r="211">
      <c r="A211" t="inlineStr">
        <is>
          <t xml:space="preserve">   Achar</t>
        </is>
      </c>
      <c r="B211" t="n">
        <v>10</v>
      </c>
      <c r="C211" t="inlineStr">
        <is>
          <t>g</t>
        </is>
      </c>
      <c r="D211" s="13" t="n">
        <v>0.5600000000000001</v>
      </c>
    </row>
    <row r="212">
      <c r="A212" s="23" t="inlineStr">
        <is>
          <t>Kadhi Chawal</t>
        </is>
      </c>
      <c r="B212" s="24" t="n"/>
      <c r="C212" s="24" t="n"/>
      <c r="D212" s="24" t="n"/>
      <c r="E212" s="25" t="n">
        <v>22.26</v>
      </c>
      <c r="F212" s="14" t="n">
        <v>129</v>
      </c>
      <c r="G212" s="26">
        <f>IF(F212=0,"",E212/F212)</f>
        <v/>
      </c>
      <c r="H212" s="27">
        <f>IF(F212=0,"",F212-E212)</f>
        <v/>
      </c>
      <c r="I212" s="24" t="inlineStr">
        <is>
          <t>plate</t>
        </is>
      </c>
    </row>
    <row r="213">
      <c r="A213" t="inlineStr">
        <is>
          <t xml:space="preserve">   Kadhi Pakora</t>
        </is>
      </c>
      <c r="B213" t="n">
        <v>180</v>
      </c>
      <c r="C213" t="inlineStr">
        <is>
          <t>g</t>
        </is>
      </c>
      <c r="D213" s="13" t="n">
        <v>6.34</v>
      </c>
    </row>
    <row r="214">
      <c r="A214" t="inlineStr">
        <is>
          <t xml:space="preserve">   Chawal</t>
        </is>
      </c>
      <c r="B214" t="n">
        <v>200</v>
      </c>
      <c r="C214" t="inlineStr">
        <is>
          <t>g</t>
        </is>
      </c>
      <c r="D214" s="13" t="n">
        <v>15</v>
      </c>
    </row>
    <row r="215">
      <c r="A215" t="inlineStr">
        <is>
          <t xml:space="preserve">   Pyaz</t>
        </is>
      </c>
      <c r="B215" t="n">
        <v>20</v>
      </c>
      <c r="C215" t="inlineStr">
        <is>
          <t>g</t>
        </is>
      </c>
      <c r="D215" s="13" t="n">
        <v>0.36</v>
      </c>
    </row>
    <row r="216">
      <c r="A216" t="inlineStr">
        <is>
          <t xml:space="preserve">   Achar</t>
        </is>
      </c>
      <c r="B216" t="n">
        <v>10</v>
      </c>
      <c r="C216" t="inlineStr">
        <is>
          <t>g</t>
        </is>
      </c>
      <c r="D216" s="13" t="n">
        <v>0.5600000000000001</v>
      </c>
    </row>
    <row r="217">
      <c r="A217" s="23" t="inlineStr">
        <is>
          <t>Dal Fry Chawal</t>
        </is>
      </c>
      <c r="B217" s="24" t="n"/>
      <c r="C217" s="24" t="n"/>
      <c r="D217" s="24" t="n"/>
      <c r="E217" s="25" t="n">
        <v>34.15</v>
      </c>
      <c r="F217" s="14" t="n">
        <v>129</v>
      </c>
      <c r="G217" s="26">
        <f>IF(F217=0,"",E217/F217)</f>
        <v/>
      </c>
      <c r="H217" s="27">
        <f>IF(F217=0,"",F217-E217)</f>
        <v/>
      </c>
      <c r="I217" s="24" t="inlineStr">
        <is>
          <t>plate</t>
        </is>
      </c>
    </row>
    <row r="218">
      <c r="A218" t="inlineStr">
        <is>
          <t xml:space="preserve">   Dal Fry</t>
        </is>
      </c>
      <c r="B218" t="n">
        <v>180</v>
      </c>
      <c r="C218" t="inlineStr">
        <is>
          <t>g</t>
        </is>
      </c>
      <c r="D218" s="13" t="n">
        <v>18.23</v>
      </c>
    </row>
    <row r="219">
      <c r="A219" t="inlineStr">
        <is>
          <t xml:space="preserve">   Chawal</t>
        </is>
      </c>
      <c r="B219" t="n">
        <v>200</v>
      </c>
      <c r="C219" t="inlineStr">
        <is>
          <t>g</t>
        </is>
      </c>
      <c r="D219" s="13" t="n">
        <v>15</v>
      </c>
    </row>
    <row r="220">
      <c r="A220" t="inlineStr">
        <is>
          <t xml:space="preserve">   Pyaz</t>
        </is>
      </c>
      <c r="B220" t="n">
        <v>20</v>
      </c>
      <c r="C220" t="inlineStr">
        <is>
          <t>g</t>
        </is>
      </c>
      <c r="D220" s="13" t="n">
        <v>0.36</v>
      </c>
    </row>
    <row r="221">
      <c r="A221" t="inlineStr">
        <is>
          <t xml:space="preserve">   Achar</t>
        </is>
      </c>
      <c r="B221" t="n">
        <v>10</v>
      </c>
      <c r="C221" t="inlineStr">
        <is>
          <t>g</t>
        </is>
      </c>
      <c r="D221" s="13" t="n">
        <v>0.5600000000000001</v>
      </c>
    </row>
    <row r="222">
      <c r="A222" s="23" t="inlineStr">
        <is>
          <t>Dal Khichdi</t>
        </is>
      </c>
      <c r="B222" s="24" t="n"/>
      <c r="C222" s="24" t="n"/>
      <c r="D222" s="24" t="n"/>
      <c r="E222" s="25" t="n">
        <v>39.35</v>
      </c>
      <c r="F222" s="14" t="n">
        <v>129</v>
      </c>
      <c r="G222" s="26">
        <f>IF(F222=0,"",E222/F222)</f>
        <v/>
      </c>
      <c r="H222" s="27">
        <f>IF(F222=0,"",F222-E222)</f>
        <v/>
      </c>
      <c r="I222" s="24" t="inlineStr">
        <is>
          <t>plate</t>
        </is>
      </c>
    </row>
    <row r="223">
      <c r="A223" t="inlineStr">
        <is>
          <t xml:space="preserve">   Chawal</t>
        </is>
      </c>
      <c r="B223" t="n">
        <v>150</v>
      </c>
      <c r="C223" t="inlineStr">
        <is>
          <t>g</t>
        </is>
      </c>
      <c r="D223" s="13" t="n">
        <v>11.25</v>
      </c>
    </row>
    <row r="224">
      <c r="A224" t="inlineStr">
        <is>
          <t xml:space="preserve">   Dal Fry</t>
        </is>
      </c>
      <c r="B224" t="n">
        <v>160</v>
      </c>
      <c r="C224" t="inlineStr">
        <is>
          <t>g</t>
        </is>
      </c>
      <c r="D224" s="13" t="n">
        <v>16.2</v>
      </c>
    </row>
    <row r="225">
      <c r="A225" t="inlineStr">
        <is>
          <t xml:space="preserve">   Butter</t>
        </is>
      </c>
      <c r="B225" t="n">
        <v>20</v>
      </c>
      <c r="C225" t="inlineStr">
        <is>
          <t>g</t>
        </is>
      </c>
      <c r="D225" s="13" t="n">
        <v>10.8</v>
      </c>
    </row>
    <row r="226">
      <c r="A226" t="inlineStr">
        <is>
          <t xml:space="preserve">   Pyaz</t>
        </is>
      </c>
      <c r="B226" t="n">
        <v>30</v>
      </c>
      <c r="C226" t="inlineStr">
        <is>
          <t>g</t>
        </is>
      </c>
      <c r="D226" s="13" t="n">
        <v>0.54</v>
      </c>
    </row>
    <row r="227">
      <c r="A227" t="inlineStr">
        <is>
          <t xml:space="preserve">   Achar</t>
        </is>
      </c>
      <c r="B227" t="n">
        <v>10</v>
      </c>
      <c r="C227" t="inlineStr">
        <is>
          <t>g</t>
        </is>
      </c>
      <c r="D227" s="13" t="n">
        <v>0.5600000000000001</v>
      </c>
    </row>
    <row r="228">
      <c r="A228" s="21" t="inlineStr">
        <is>
          <t>DAL</t>
        </is>
      </c>
      <c r="B228" s="22" t="n"/>
      <c r="C228" s="22" t="n"/>
      <c r="D228" s="22" t="n"/>
      <c r="E228" s="22" t="n"/>
      <c r="F228" s="22" t="n"/>
      <c r="G228" s="22" t="n"/>
      <c r="H228" s="22" t="n"/>
      <c r="I228" s="22" t="n"/>
    </row>
    <row r="229">
      <c r="A229" s="23" t="inlineStr">
        <is>
          <t>Dal Tadka</t>
        </is>
      </c>
      <c r="B229" s="24" t="n"/>
      <c r="C229" s="24" t="n"/>
      <c r="D229" s="24" t="n"/>
      <c r="E229" s="25" t="n">
        <v>25.27</v>
      </c>
      <c r="F229" s="14" t="n">
        <v>119</v>
      </c>
      <c r="G229" s="26">
        <f>IF(F229=0,"",E229/F229)</f>
        <v/>
      </c>
      <c r="H229" s="27">
        <f>IF(F229=0,"",F229-E229)</f>
        <v/>
      </c>
      <c r="I229" s="24" t="inlineStr">
        <is>
          <t>plate</t>
        </is>
      </c>
    </row>
    <row r="230">
      <c r="A230" t="inlineStr">
        <is>
          <t xml:space="preserve">   Dal Fry</t>
        </is>
      </c>
      <c r="B230" t="n">
        <v>1</v>
      </c>
      <c r="C230" t="inlineStr">
        <is>
          <t>plate</t>
        </is>
      </c>
      <c r="D230" s="13" t="n">
        <v>18.23</v>
      </c>
    </row>
    <row r="231">
      <c r="A231" t="inlineStr">
        <is>
          <t xml:space="preserve">   Lal Mirch</t>
        </is>
      </c>
      <c r="B231" t="n">
        <v>2</v>
      </c>
      <c r="C231" t="inlineStr">
        <is>
          <t>g</t>
        </is>
      </c>
      <c r="D231" s="13" t="n">
        <v>0.88</v>
      </c>
    </row>
    <row r="232">
      <c r="A232" t="inlineStr">
        <is>
          <t xml:space="preserve">   Butter</t>
        </is>
      </c>
      <c r="B232" t="n">
        <v>10</v>
      </c>
      <c r="C232" t="inlineStr">
        <is>
          <t>g</t>
        </is>
      </c>
      <c r="D232" s="13" t="n">
        <v>5.4</v>
      </c>
    </row>
    <row r="233">
      <c r="A233" t="inlineStr">
        <is>
          <t xml:space="preserve">   Jeera</t>
        </is>
      </c>
      <c r="B233" t="n">
        <v>2</v>
      </c>
      <c r="C233" t="inlineStr">
        <is>
          <t>g</t>
        </is>
      </c>
      <c r="D233" s="13" t="n">
        <v>0.76</v>
      </c>
    </row>
    <row r="234">
      <c r="A234" s="21" t="inlineStr">
        <is>
          <t>ROTI</t>
        </is>
      </c>
      <c r="B234" s="22" t="n"/>
      <c r="C234" s="22" t="n"/>
      <c r="D234" s="22" t="n"/>
      <c r="E234" s="22" t="n"/>
      <c r="F234" s="22" t="n"/>
      <c r="G234" s="22" t="n"/>
      <c r="H234" s="22" t="n"/>
      <c r="I234" s="22" t="n"/>
    </row>
    <row r="235">
      <c r="A235" s="23" t="inlineStr">
        <is>
          <t>Plain Roti</t>
        </is>
      </c>
      <c r="B235" s="24" t="n"/>
      <c r="C235" s="24" t="n"/>
      <c r="D235" s="24" t="n"/>
      <c r="E235" s="25" t="n">
        <v>1.69</v>
      </c>
      <c r="F235" s="14" t="n">
        <v>18</v>
      </c>
      <c r="G235" s="26">
        <f>IF(F235=0,"",E235/F235)</f>
        <v/>
      </c>
      <c r="H235" s="27">
        <f>IF(F235=0,"",F235-E235)</f>
        <v/>
      </c>
      <c r="I235" s="24" t="inlineStr">
        <is>
          <t>plate</t>
        </is>
      </c>
    </row>
    <row r="236">
      <c r="A236" t="inlineStr">
        <is>
          <t xml:space="preserve">   Atta</t>
        </is>
      </c>
      <c r="B236" t="n">
        <v>41.7</v>
      </c>
      <c r="C236" t="inlineStr">
        <is>
          <t>g</t>
        </is>
      </c>
      <c r="D236" s="13" t="n">
        <v>1.67</v>
      </c>
    </row>
    <row r="237">
      <c r="A237" t="inlineStr">
        <is>
          <t xml:space="preserve">   Paani</t>
        </is>
      </c>
      <c r="B237" t="n">
        <v>25</v>
      </c>
      <c r="C237" t="inlineStr">
        <is>
          <t>g</t>
        </is>
      </c>
      <c r="D237" s="13" t="n">
        <v>0</v>
      </c>
    </row>
    <row r="238">
      <c r="A238" t="inlineStr">
        <is>
          <t xml:space="preserve">   Safed Namak</t>
        </is>
      </c>
      <c r="B238" t="n">
        <v>0.8</v>
      </c>
      <c r="C238" t="inlineStr">
        <is>
          <t>g</t>
        </is>
      </c>
      <c r="D238" s="13" t="n">
        <v>0.02</v>
      </c>
    </row>
    <row r="239">
      <c r="A239" s="23" t="inlineStr">
        <is>
          <t>Butter Roti</t>
        </is>
      </c>
      <c r="B239" s="24" t="n"/>
      <c r="C239" s="24" t="n"/>
      <c r="D239" s="24" t="n"/>
      <c r="E239" s="25" t="n">
        <v>4.39</v>
      </c>
      <c r="F239" s="14" t="n">
        <v>25</v>
      </c>
      <c r="G239" s="26">
        <f>IF(F239=0,"",E239/F239)</f>
        <v/>
      </c>
      <c r="H239" s="27">
        <f>IF(F239=0,"",F239-E239)</f>
        <v/>
      </c>
      <c r="I239" s="24" t="inlineStr">
        <is>
          <t>plate</t>
        </is>
      </c>
    </row>
    <row r="240">
      <c r="A240" t="inlineStr">
        <is>
          <t xml:space="preserve">   Atta</t>
        </is>
      </c>
      <c r="B240" t="n">
        <v>41.7</v>
      </c>
      <c r="C240" t="inlineStr">
        <is>
          <t>g</t>
        </is>
      </c>
      <c r="D240" s="13" t="n">
        <v>1.67</v>
      </c>
    </row>
    <row r="241">
      <c r="A241" t="inlineStr">
        <is>
          <t xml:space="preserve">   Paani</t>
        </is>
      </c>
      <c r="B241" t="n">
        <v>25</v>
      </c>
      <c r="C241" t="inlineStr">
        <is>
          <t>g</t>
        </is>
      </c>
      <c r="D241" s="13" t="n">
        <v>0</v>
      </c>
    </row>
    <row r="242">
      <c r="A242" t="inlineStr">
        <is>
          <t xml:space="preserve">   Safed Namak</t>
        </is>
      </c>
      <c r="B242" t="n">
        <v>0.8</v>
      </c>
      <c r="C242" t="inlineStr">
        <is>
          <t>g</t>
        </is>
      </c>
      <c r="D242" s="13" t="n">
        <v>0.02</v>
      </c>
    </row>
    <row r="243">
      <c r="A243" t="inlineStr">
        <is>
          <t xml:space="preserve">   Butter</t>
        </is>
      </c>
      <c r="B243" t="n">
        <v>5</v>
      </c>
      <c r="C243" t="inlineStr">
        <is>
          <t>g</t>
        </is>
      </c>
      <c r="D243" s="13" t="n">
        <v>2.7</v>
      </c>
    </row>
    <row r="244">
      <c r="A244" s="21" t="inlineStr">
        <is>
          <t>LASSI</t>
        </is>
      </c>
      <c r="B244" s="22" t="n"/>
      <c r="C244" s="22" t="n"/>
      <c r="D244" s="22" t="n"/>
      <c r="E244" s="22" t="n"/>
      <c r="F244" s="22" t="n"/>
      <c r="G244" s="22" t="n"/>
      <c r="H244" s="22" t="n"/>
      <c r="I244" s="22" t="n"/>
    </row>
    <row r="245">
      <c r="A245" s="23" t="inlineStr">
        <is>
          <t>Kulhad Lassi</t>
        </is>
      </c>
      <c r="B245" s="28" t="inlineStr">
        <is>
          <t>batch 71</t>
        </is>
      </c>
      <c r="C245" s="24" t="n"/>
      <c r="D245" s="24" t="n"/>
      <c r="E245" s="25" t="n">
        <v>17.87</v>
      </c>
      <c r="F245" s="14" t="n">
        <v>70</v>
      </c>
      <c r="G245" s="26">
        <f>IF(F245=0,"",E245/F245)</f>
        <v/>
      </c>
      <c r="H245" s="27">
        <f>IF(F245=0,"",F245-E245)</f>
        <v/>
      </c>
      <c r="I245" s="24" t="inlineStr">
        <is>
          <t>glass (250ml)</t>
        </is>
      </c>
    </row>
    <row r="246">
      <c r="A246" t="inlineStr">
        <is>
          <t xml:space="preserve">   Dahi</t>
        </is>
      </c>
      <c r="B246" t="n">
        <v>1</v>
      </c>
      <c r="C246" t="inlineStr">
        <is>
          <t>kg</t>
        </is>
      </c>
      <c r="D246" s="13" t="n">
        <v>62</v>
      </c>
    </row>
    <row r="247">
      <c r="A247" t="inlineStr">
        <is>
          <t xml:space="preserve">   Shakkar</t>
        </is>
      </c>
      <c r="B247" t="n">
        <v>200</v>
      </c>
      <c r="C247" t="inlineStr">
        <is>
          <t>g</t>
        </is>
      </c>
      <c r="D247" s="13" t="n">
        <v>8.52</v>
      </c>
    </row>
    <row r="248">
      <c r="A248" t="inlineStr">
        <is>
          <t xml:space="preserve">   Gulaab Jal</t>
        </is>
      </c>
      <c r="B248" t="n">
        <v>12</v>
      </c>
      <c r="C248" t="inlineStr">
        <is>
          <t>g</t>
        </is>
      </c>
      <c r="D248" s="13" t="n">
        <v>0.96</v>
      </c>
    </row>
    <row r="249">
      <c r="A249" s="21" t="inlineStr">
        <is>
          <t>CHAI</t>
        </is>
      </c>
      <c r="B249" s="22" t="n"/>
      <c r="C249" s="22" t="n"/>
      <c r="D249" s="22" t="n"/>
      <c r="E249" s="22" t="n"/>
      <c r="F249" s="22" t="n"/>
      <c r="G249" s="22" t="n"/>
      <c r="H249" s="22" t="n"/>
      <c r="I249" s="22" t="n"/>
    </row>
    <row r="250">
      <c r="A250" s="23" t="inlineStr">
        <is>
          <t>Desi Chai</t>
        </is>
      </c>
      <c r="B250" s="28" t="inlineStr">
        <is>
          <t>batch 114</t>
        </is>
      </c>
      <c r="C250" s="24" t="n"/>
      <c r="D250" s="24" t="n"/>
      <c r="E250" s="25" t="n">
        <v>7.13</v>
      </c>
      <c r="F250" s="14" t="n">
        <v>20</v>
      </c>
      <c r="G250" s="26">
        <f>IF(F250=0,"",E250/F250)</f>
        <v/>
      </c>
      <c r="H250" s="27">
        <f>IF(F250=0,"",F250-E250)</f>
        <v/>
      </c>
      <c r="I250" s="24" t="inlineStr">
        <is>
          <t>cup</t>
        </is>
      </c>
    </row>
    <row r="251">
      <c r="A251" t="inlineStr">
        <is>
          <t xml:space="preserve">   Bhais Milk</t>
        </is>
      </c>
      <c r="B251" t="n">
        <v>1</v>
      </c>
      <c r="C251" t="inlineStr">
        <is>
          <t>l</t>
        </is>
      </c>
      <c r="D251" s="13" t="n">
        <v>72</v>
      </c>
    </row>
    <row r="252">
      <c r="A252" t="inlineStr">
        <is>
          <t xml:space="preserve">   Paani</t>
        </is>
      </c>
      <c r="B252" t="n">
        <v>500</v>
      </c>
      <c r="C252" t="inlineStr">
        <is>
          <t>ml</t>
        </is>
      </c>
      <c r="D252" s="13" t="n">
        <v>0</v>
      </c>
    </row>
    <row r="253">
      <c r="A253" t="inlineStr">
        <is>
          <t xml:space="preserve">   Chai Patti</t>
        </is>
      </c>
      <c r="B253" t="n">
        <v>70</v>
      </c>
      <c r="C253" t="inlineStr">
        <is>
          <t>g</t>
        </is>
      </c>
      <c r="D253" s="13" t="n">
        <v>28</v>
      </c>
    </row>
    <row r="254">
      <c r="A254" t="inlineStr">
        <is>
          <t xml:space="preserve">   Adrak</t>
        </is>
      </c>
      <c r="B254" t="n">
        <v>50</v>
      </c>
      <c r="C254" t="inlineStr">
        <is>
          <t>g</t>
        </is>
      </c>
      <c r="D254" s="13" t="n">
        <v>4</v>
      </c>
    </row>
    <row r="255">
      <c r="A255" t="inlineStr">
        <is>
          <t xml:space="preserve">   Elaichi</t>
        </is>
      </c>
      <c r="B255" t="n">
        <v>1</v>
      </c>
      <c r="C255" t="inlineStr">
        <is>
          <t>g</t>
        </is>
      </c>
      <c r="D255" s="13" t="n">
        <v>3.2</v>
      </c>
    </row>
    <row r="256">
      <c r="A256" t="inlineStr">
        <is>
          <t xml:space="preserve">   Shakkar</t>
        </is>
      </c>
      <c r="B256" t="n">
        <v>160</v>
      </c>
      <c r="C256" t="inlineStr">
        <is>
          <t>g</t>
        </is>
      </c>
      <c r="D256" s="13" t="n">
        <v>6.82</v>
      </c>
    </row>
    <row r="257">
      <c r="A257" s="21" t="inlineStr">
        <is>
          <t>MITHAI</t>
        </is>
      </c>
      <c r="B257" s="22" t="n"/>
      <c r="C257" s="22" t="n"/>
      <c r="D257" s="22" t="n"/>
      <c r="E257" s="22" t="n"/>
      <c r="F257" s="22" t="n"/>
      <c r="G257" s="22" t="n"/>
      <c r="H257" s="22" t="n"/>
      <c r="I257" s="22" t="n"/>
    </row>
    <row r="258">
      <c r="A258" s="23" t="inlineStr">
        <is>
          <t>Mathura Peda</t>
        </is>
      </c>
      <c r="B258" s="28" t="inlineStr">
        <is>
          <t>batch 450</t>
        </is>
      </c>
      <c r="C258" s="24" t="n"/>
      <c r="D258" s="24" t="n"/>
      <c r="E258" s="25" t="n">
        <v>299.76</v>
      </c>
      <c r="F258" s="14" t="n">
        <v>700</v>
      </c>
      <c r="G258" s="26">
        <f>IF(F258=0,"",E258/F258)</f>
        <v/>
      </c>
      <c r="H258" s="27">
        <f>IF(F258=0,"",F258-E258)</f>
        <v/>
      </c>
      <c r="I258" s="24" t="inlineStr">
        <is>
          <t>kg</t>
        </is>
      </c>
    </row>
    <row r="259">
      <c r="A259" t="inlineStr">
        <is>
          <t xml:space="preserve">   Bhais Milk</t>
        </is>
      </c>
      <c r="B259" t="n">
        <v>6</v>
      </c>
      <c r="C259" t="inlineStr">
        <is>
          <t>l</t>
        </is>
      </c>
      <c r="D259" s="13" t="n">
        <v>432</v>
      </c>
    </row>
    <row r="260">
      <c r="A260" t="inlineStr">
        <is>
          <t xml:space="preserve">   Shakkar</t>
        </is>
      </c>
      <c r="B260" t="n">
        <v>240</v>
      </c>
      <c r="C260" t="inlineStr">
        <is>
          <t>g</t>
        </is>
      </c>
      <c r="D260" s="13" t="n">
        <v>10.22</v>
      </c>
    </row>
    <row r="261">
      <c r="A261" t="inlineStr">
        <is>
          <t xml:space="preserve">   Elaichi</t>
        </is>
      </c>
      <c r="B261" t="n">
        <v>2</v>
      </c>
      <c r="C261" t="inlineStr">
        <is>
          <t>g</t>
        </is>
      </c>
      <c r="D261" s="13" t="n">
        <v>6.4</v>
      </c>
    </row>
    <row r="262">
      <c r="A262" t="inlineStr">
        <is>
          <t xml:space="preserve">   Laung</t>
        </is>
      </c>
      <c r="B262" t="n">
        <v>1</v>
      </c>
      <c r="C262" t="inlineStr">
        <is>
          <t>g</t>
        </is>
      </c>
      <c r="D262" s="13" t="n">
        <v>1.02</v>
      </c>
    </row>
    <row r="263">
      <c r="A263" s="23" t="inlineStr">
        <is>
          <t>Kesar Rabdi</t>
        </is>
      </c>
      <c r="B263" s="28" t="inlineStr">
        <is>
          <t>batch 599</t>
        </is>
      </c>
      <c r="C263" s="24" t="n"/>
      <c r="D263" s="24" t="n"/>
      <c r="E263" s="25" t="n">
        <v>21.41</v>
      </c>
      <c r="F263" s="14" t="n">
        <v>80</v>
      </c>
      <c r="G263" s="26">
        <f>IF(F263=0,"",E263/F263)</f>
        <v/>
      </c>
      <c r="H263" s="27">
        <f>IF(F263=0,"",F263-E263)</f>
        <v/>
      </c>
      <c r="I263" s="24" t="inlineStr">
        <is>
          <t>100g plate</t>
        </is>
      </c>
    </row>
    <row r="264">
      <c r="A264" t="inlineStr">
        <is>
          <t xml:space="preserve">   Bhais Milk</t>
        </is>
      </c>
      <c r="B264" t="n">
        <v>8</v>
      </c>
      <c r="C264" t="inlineStr">
        <is>
          <t>l</t>
        </is>
      </c>
      <c r="D264" s="13" t="n">
        <v>576</v>
      </c>
    </row>
    <row r="265">
      <c r="A265" t="inlineStr">
        <is>
          <t xml:space="preserve">   Shakkar</t>
        </is>
      </c>
      <c r="B265" t="n">
        <v>400</v>
      </c>
      <c r="C265" t="inlineStr">
        <is>
          <t>g</t>
        </is>
      </c>
      <c r="D265" s="13" t="n">
        <v>17.04</v>
      </c>
    </row>
    <row r="266">
      <c r="A266" t="inlineStr">
        <is>
          <t xml:space="preserve">   Elaichi</t>
        </is>
      </c>
      <c r="B266" t="n">
        <v>2</v>
      </c>
      <c r="C266" t="inlineStr">
        <is>
          <t>g</t>
        </is>
      </c>
      <c r="D266" s="13" t="n">
        <v>6.4</v>
      </c>
    </row>
    <row r="267">
      <c r="A267" s="23" t="inlineStr">
        <is>
          <t>Jalebi</t>
        </is>
      </c>
      <c r="B267" s="28" t="inlineStr">
        <is>
          <t>batch 593</t>
        </is>
      </c>
      <c r="C267" s="24" t="n"/>
      <c r="D267" s="24" t="n"/>
      <c r="E267" s="25" t="n">
        <v>16.95</v>
      </c>
      <c r="F267" s="14" t="n">
        <v>60</v>
      </c>
      <c r="G267" s="26">
        <f>IF(F267=0,"",E267/F267)</f>
        <v/>
      </c>
      <c r="H267" s="27">
        <f>IF(F267=0,"",F267-E267)</f>
        <v/>
      </c>
      <c r="I267" s="24" t="inlineStr">
        <is>
          <t>100g plate</t>
        </is>
      </c>
    </row>
    <row r="268">
      <c r="A268" t="inlineStr">
        <is>
          <t xml:space="preserve">   Desi Ghee</t>
        </is>
      </c>
      <c r="B268" t="n">
        <v>1</v>
      </c>
      <c r="C268" t="inlineStr">
        <is>
          <t>kg</t>
        </is>
      </c>
      <c r="D268" s="13" t="n">
        <v>493</v>
      </c>
    </row>
    <row r="269">
      <c r="A269" t="inlineStr">
        <is>
          <t xml:space="preserve">   Maida</t>
        </is>
      </c>
      <c r="B269" t="n">
        <v>1</v>
      </c>
      <c r="C269" t="inlineStr">
        <is>
          <t>kg</t>
        </is>
      </c>
      <c r="D269" s="13" t="n">
        <v>35.6</v>
      </c>
    </row>
    <row r="270">
      <c r="A270" t="inlineStr">
        <is>
          <t xml:space="preserve">   Shakkar</t>
        </is>
      </c>
      <c r="B270" t="n">
        <v>1.5</v>
      </c>
      <c r="C270" t="inlineStr">
        <is>
          <t>kg</t>
        </is>
      </c>
      <c r="D270" s="13" t="n">
        <v>63.9</v>
      </c>
    </row>
    <row r="271">
      <c r="A271" t="inlineStr">
        <is>
          <t xml:space="preserve">   Kesar Colour</t>
        </is>
      </c>
      <c r="B271" t="n">
        <v>1</v>
      </c>
      <c r="C271" t="inlineStr">
        <is>
          <t>g</t>
        </is>
      </c>
      <c r="D271" s="13" t="n">
        <v>0.85</v>
      </c>
    </row>
    <row r="272">
      <c r="A272" s="23" t="inlineStr">
        <is>
          <t>Rasmalai</t>
        </is>
      </c>
      <c r="B272" s="28" t="inlineStr">
        <is>
          <t>batch 1067</t>
        </is>
      </c>
      <c r="C272" s="24" t="n"/>
      <c r="D272" s="24" t="n"/>
      <c r="E272" s="25" t="n">
        <v>21.34</v>
      </c>
      <c r="F272" s="14" t="n">
        <v>80</v>
      </c>
      <c r="G272" s="26">
        <f>IF(F272=0,"",E272/F272)</f>
        <v/>
      </c>
      <c r="H272" s="27">
        <f>IF(F272=0,"",F272-E272)</f>
        <v/>
      </c>
      <c r="I272" s="24" t="inlineStr">
        <is>
          <t>pc (100g)</t>
        </is>
      </c>
    </row>
    <row r="273">
      <c r="A273" t="inlineStr">
        <is>
          <t xml:space="preserve">   Bhais Milk</t>
        </is>
      </c>
      <c r="B273" t="n">
        <v>5</v>
      </c>
      <c r="C273" t="inlineStr">
        <is>
          <t>l</t>
        </is>
      </c>
      <c r="D273" s="13" t="n">
        <v>360</v>
      </c>
    </row>
    <row r="274">
      <c r="A274" t="inlineStr">
        <is>
          <t xml:space="preserve">   Chena</t>
        </is>
      </c>
      <c r="B274" t="n">
        <v>900</v>
      </c>
      <c r="C274" t="inlineStr">
        <is>
          <t>g</t>
        </is>
      </c>
      <c r="D274" s="13" t="n">
        <v>412.5</v>
      </c>
    </row>
    <row r="275">
      <c r="A275" t="inlineStr">
        <is>
          <t xml:space="preserve">   Elaichi</t>
        </is>
      </c>
      <c r="B275" t="n">
        <v>8</v>
      </c>
      <c r="C275" t="inlineStr">
        <is>
          <t>g</t>
        </is>
      </c>
      <c r="D275" s="13" t="n">
        <v>25.6</v>
      </c>
    </row>
    <row r="276">
      <c r="A276" t="inlineStr">
        <is>
          <t xml:space="preserve">   Kesar</t>
        </is>
      </c>
      <c r="B276" t="n">
        <v>2</v>
      </c>
      <c r="C276" t="inlineStr">
        <is>
          <t>g</t>
        </is>
      </c>
      <c r="D276" s="13" t="n">
        <v>1.7</v>
      </c>
    </row>
    <row r="277">
      <c r="A277" t="inlineStr">
        <is>
          <t xml:space="preserve">   Shakkar</t>
        </is>
      </c>
      <c r="B277" t="n">
        <v>2.75</v>
      </c>
      <c r="C277" t="inlineStr">
        <is>
          <t>kg</t>
        </is>
      </c>
      <c r="D277" s="13" t="n">
        <v>117.15</v>
      </c>
    </row>
    <row r="278">
      <c r="A278" t="inlineStr">
        <is>
          <t xml:space="preserve">   Badaam</t>
        </is>
      </c>
      <c r="B278" t="n">
        <v>200</v>
      </c>
      <c r="C278" t="inlineStr">
        <is>
          <t>g</t>
        </is>
      </c>
      <c r="D278" s="13" t="n">
        <v>150</v>
      </c>
    </row>
    <row r="279">
      <c r="A279" s="23" t="inlineStr">
        <is>
          <t>Rasgulla</t>
        </is>
      </c>
      <c r="B279" s="28" t="inlineStr">
        <is>
          <t>batch 519</t>
        </is>
      </c>
      <c r="C279" s="24" t="n"/>
      <c r="D279" s="24" t="n"/>
      <c r="E279" s="25" t="n">
        <v>11.53</v>
      </c>
      <c r="F279" s="14" t="n">
        <v>35</v>
      </c>
      <c r="G279" s="26">
        <f>IF(F279=0,"",E279/F279)</f>
        <v/>
      </c>
      <c r="H279" s="27">
        <f>IF(F279=0,"",F279-E279)</f>
        <v/>
      </c>
      <c r="I279" s="24" t="inlineStr">
        <is>
          <t>pc</t>
        </is>
      </c>
    </row>
    <row r="280">
      <c r="A280" t="inlineStr">
        <is>
          <t xml:space="preserve">   Shakkar</t>
        </is>
      </c>
      <c r="B280" t="n">
        <v>2.5</v>
      </c>
      <c r="C280" t="inlineStr">
        <is>
          <t>kg</t>
        </is>
      </c>
      <c r="D280" s="13" t="n">
        <v>106.5</v>
      </c>
    </row>
    <row r="281">
      <c r="A281" t="inlineStr">
        <is>
          <t xml:space="preserve">   Chena</t>
        </is>
      </c>
      <c r="B281" t="n">
        <v>900</v>
      </c>
      <c r="C281" t="inlineStr">
        <is>
          <t>g</t>
        </is>
      </c>
      <c r="D281" s="13" t="n">
        <v>412.5</v>
      </c>
    </row>
    <row r="282">
      <c r="A282" s="23" t="inlineStr">
        <is>
          <t>Gulab Jamun</t>
        </is>
      </c>
      <c r="B282" s="28" t="inlineStr">
        <is>
          <t>batch 639</t>
        </is>
      </c>
      <c r="C282" s="24" t="n"/>
      <c r="D282" s="24" t="n"/>
      <c r="E282" s="25" t="n">
        <v>10.65</v>
      </c>
      <c r="F282" s="14" t="n">
        <v>40</v>
      </c>
      <c r="G282" s="26">
        <f>IF(F282=0,"",E282/F282)</f>
        <v/>
      </c>
      <c r="H282" s="27">
        <f>IF(F282=0,"",F282-E282)</f>
        <v/>
      </c>
      <c r="I282" s="24" t="inlineStr">
        <is>
          <t>pc</t>
        </is>
      </c>
    </row>
    <row r="283">
      <c r="A283" t="inlineStr">
        <is>
          <t xml:space="preserve">   Safed Khoya/Mawa</t>
        </is>
      </c>
      <c r="B283" t="n">
        <v>1</v>
      </c>
      <c r="C283" t="inlineStr">
        <is>
          <t>kg</t>
        </is>
      </c>
      <c r="D283" s="13" t="n">
        <v>230</v>
      </c>
    </row>
    <row r="284">
      <c r="A284" t="inlineStr">
        <is>
          <t xml:space="preserve">   Maida</t>
        </is>
      </c>
      <c r="B284" t="n">
        <v>200</v>
      </c>
      <c r="C284" t="inlineStr">
        <is>
          <t>g</t>
        </is>
      </c>
      <c r="D284" s="13" t="n">
        <v>7.12</v>
      </c>
    </row>
    <row r="285">
      <c r="A285" t="inlineStr">
        <is>
          <t xml:space="preserve">   Ararot</t>
        </is>
      </c>
      <c r="B285" t="n">
        <v>50</v>
      </c>
      <c r="C285" t="inlineStr">
        <is>
          <t>g</t>
        </is>
      </c>
      <c r="D285" s="13" t="n">
        <v>2.25</v>
      </c>
    </row>
    <row r="286">
      <c r="A286" t="inlineStr">
        <is>
          <t xml:space="preserve">   Chena</t>
        </is>
      </c>
      <c r="B286" t="n">
        <v>200</v>
      </c>
      <c r="C286" t="inlineStr">
        <is>
          <t>g</t>
        </is>
      </c>
      <c r="D286" s="13" t="n">
        <v>91.67</v>
      </c>
    </row>
    <row r="287">
      <c r="A287" t="inlineStr">
        <is>
          <t xml:space="preserve">   Desi Ghee</t>
        </is>
      </c>
      <c r="B287" t="n">
        <v>300</v>
      </c>
      <c r="C287" t="inlineStr">
        <is>
          <t>g</t>
        </is>
      </c>
      <c r="D287" s="13" t="n">
        <v>147.9</v>
      </c>
    </row>
    <row r="288">
      <c r="A288" t="inlineStr">
        <is>
          <t xml:space="preserve">   Shakkar</t>
        </is>
      </c>
      <c r="B288" t="n">
        <v>3</v>
      </c>
      <c r="C288" t="inlineStr">
        <is>
          <t>kg</t>
        </is>
      </c>
      <c r="D288" s="13" t="n">
        <v>127.8</v>
      </c>
    </row>
    <row r="289">
      <c r="A289" t="inlineStr">
        <is>
          <t xml:space="preserve">   Elaichi</t>
        </is>
      </c>
      <c r="B289" t="n">
        <v>10</v>
      </c>
      <c r="C289" t="inlineStr">
        <is>
          <t>g</t>
        </is>
      </c>
      <c r="D289" s="13" t="n">
        <v>32</v>
      </c>
    </row>
    <row r="290">
      <c r="A290" s="23" t="inlineStr">
        <is>
          <t>Kala Jamun</t>
        </is>
      </c>
      <c r="B290" s="28" t="inlineStr">
        <is>
          <t>batch 795</t>
        </is>
      </c>
      <c r="C290" s="24" t="n"/>
      <c r="D290" s="24" t="n"/>
      <c r="E290" s="25" t="n">
        <v>12.22</v>
      </c>
      <c r="F290" s="14" t="n">
        <v>45</v>
      </c>
      <c r="G290" s="26">
        <f>IF(F290=0,"",E290/F290)</f>
        <v/>
      </c>
      <c r="H290" s="27">
        <f>IF(F290=0,"",F290-E290)</f>
        <v/>
      </c>
      <c r="I290" s="24" t="inlineStr">
        <is>
          <t>pc</t>
        </is>
      </c>
    </row>
    <row r="291">
      <c r="A291" t="inlineStr">
        <is>
          <t xml:space="preserve">   Safed Khoya/Mawa</t>
        </is>
      </c>
      <c r="B291" t="n">
        <v>1</v>
      </c>
      <c r="C291" t="inlineStr">
        <is>
          <t>kg</t>
        </is>
      </c>
      <c r="D291" s="13" t="n">
        <v>230</v>
      </c>
    </row>
    <row r="292">
      <c r="A292" t="inlineStr">
        <is>
          <t xml:space="preserve">   Maida</t>
        </is>
      </c>
      <c r="B292" t="n">
        <v>200</v>
      </c>
      <c r="C292" t="inlineStr">
        <is>
          <t>g</t>
        </is>
      </c>
      <c r="D292" s="13" t="n">
        <v>7.12</v>
      </c>
    </row>
    <row r="293">
      <c r="A293" t="inlineStr">
        <is>
          <t xml:space="preserve">   Chena</t>
        </is>
      </c>
      <c r="B293" t="n">
        <v>200</v>
      </c>
      <c r="C293" t="inlineStr">
        <is>
          <t>g</t>
        </is>
      </c>
      <c r="D293" s="13" t="n">
        <v>91.67</v>
      </c>
    </row>
    <row r="294">
      <c r="A294" t="inlineStr">
        <is>
          <t xml:space="preserve">   Ararot</t>
        </is>
      </c>
      <c r="B294" t="n">
        <v>50</v>
      </c>
      <c r="C294" t="inlineStr">
        <is>
          <t>g</t>
        </is>
      </c>
      <c r="D294" s="13" t="n">
        <v>2.25</v>
      </c>
    </row>
    <row r="295">
      <c r="A295" t="inlineStr">
        <is>
          <t xml:space="preserve">   Shakkar</t>
        </is>
      </c>
      <c r="B295" t="n">
        <v>3</v>
      </c>
      <c r="C295" t="inlineStr">
        <is>
          <t>kg</t>
        </is>
      </c>
      <c r="D295" s="13" t="n">
        <v>127.8</v>
      </c>
    </row>
    <row r="296">
      <c r="A296" t="inlineStr">
        <is>
          <t xml:space="preserve">   Desi Ghee</t>
        </is>
      </c>
      <c r="B296" t="n">
        <v>300</v>
      </c>
      <c r="C296" t="inlineStr">
        <is>
          <t>g</t>
        </is>
      </c>
      <c r="D296" s="13" t="n">
        <v>147.9</v>
      </c>
    </row>
    <row r="297">
      <c r="A297" t="inlineStr">
        <is>
          <t xml:space="preserve">   Kaju</t>
        </is>
      </c>
      <c r="B297" t="n">
        <v>150</v>
      </c>
      <c r="C297" t="inlineStr">
        <is>
          <t>g</t>
        </is>
      </c>
      <c r="D297" s="13" t="n">
        <v>123</v>
      </c>
    </row>
    <row r="298">
      <c r="A298" t="inlineStr">
        <is>
          <t xml:space="preserve">   Elaichi</t>
        </is>
      </c>
      <c r="B298" t="n">
        <v>20</v>
      </c>
      <c r="C298" t="inlineStr">
        <is>
          <t>g</t>
        </is>
      </c>
      <c r="D298" s="13" t="n">
        <v>64</v>
      </c>
    </row>
    <row r="299">
      <c r="A299" t="inlineStr">
        <is>
          <t xml:space="preserve">   Kesar</t>
        </is>
      </c>
      <c r="B299" t="n">
        <v>1</v>
      </c>
      <c r="C299" t="inlineStr">
        <is>
          <t>g</t>
        </is>
      </c>
      <c r="D299" s="13" t="n">
        <v>0.85</v>
      </c>
    </row>
    <row r="300">
      <c r="A300" s="23" t="inlineStr">
        <is>
          <t>Malpua</t>
        </is>
      </c>
      <c r="B300" s="28" t="inlineStr">
        <is>
          <t>batch 459</t>
        </is>
      </c>
      <c r="C300" s="24" t="n"/>
      <c r="D300" s="24" t="n"/>
      <c r="E300" s="25" t="n">
        <v>13.12</v>
      </c>
      <c r="F300" s="14" t="n">
        <v>80</v>
      </c>
      <c r="G300" s="26">
        <f>IF(F300=0,"",E300/F300)</f>
        <v/>
      </c>
      <c r="H300" s="27">
        <f>IF(F300=0,"",F300-E300)</f>
        <v/>
      </c>
      <c r="I300" s="24" t="inlineStr">
        <is>
          <t>100g plate</t>
        </is>
      </c>
    </row>
    <row r="301">
      <c r="A301" t="inlineStr">
        <is>
          <t xml:space="preserve">   Desi Ghee</t>
        </is>
      </c>
      <c r="B301" t="n">
        <v>300</v>
      </c>
      <c r="C301" t="inlineStr">
        <is>
          <t>g</t>
        </is>
      </c>
      <c r="D301" s="13" t="n">
        <v>147.9</v>
      </c>
    </row>
    <row r="302">
      <c r="A302" t="inlineStr">
        <is>
          <t xml:space="preserve">   Safed Khoya/Mawa</t>
        </is>
      </c>
      <c r="B302" t="n">
        <v>1</v>
      </c>
      <c r="C302" t="inlineStr">
        <is>
          <t>kg</t>
        </is>
      </c>
      <c r="D302" s="13" t="n">
        <v>230</v>
      </c>
    </row>
    <row r="303">
      <c r="A303" t="inlineStr">
        <is>
          <t xml:space="preserve">   Shakkar</t>
        </is>
      </c>
      <c r="B303" t="n">
        <v>1.7</v>
      </c>
      <c r="C303" t="inlineStr">
        <is>
          <t>kg</t>
        </is>
      </c>
      <c r="D303" s="13" t="n">
        <v>72.42</v>
      </c>
    </row>
    <row r="304">
      <c r="A304" t="inlineStr">
        <is>
          <t xml:space="preserve">   Ararot</t>
        </is>
      </c>
      <c r="B304" t="n">
        <v>200</v>
      </c>
      <c r="C304" t="inlineStr">
        <is>
          <t>g</t>
        </is>
      </c>
      <c r="D304" s="13" t="n">
        <v>9</v>
      </c>
    </row>
    <row r="305">
      <c r="A305" s="21" t="inlineStr">
        <is>
          <t>HALWA</t>
        </is>
      </c>
      <c r="B305" s="22" t="n"/>
      <c r="C305" s="22" t="n"/>
      <c r="D305" s="22" t="n"/>
      <c r="E305" s="22" t="n"/>
      <c r="F305" s="22" t="n"/>
      <c r="G305" s="22" t="n"/>
      <c r="H305" s="22" t="n"/>
      <c r="I305" s="22" t="n"/>
    </row>
    <row r="306">
      <c r="A306" s="23" t="inlineStr">
        <is>
          <t>Moong Dal Halwa</t>
        </is>
      </c>
      <c r="B306" s="28" t="inlineStr">
        <is>
          <t>batch 805</t>
        </is>
      </c>
      <c r="C306" s="24" t="n"/>
      <c r="D306" s="24" t="n"/>
      <c r="E306" s="25" t="n">
        <v>16.09</v>
      </c>
      <c r="F306" s="14" t="n">
        <v>90</v>
      </c>
      <c r="G306" s="26">
        <f>IF(F306=0,"",E306/F306)</f>
        <v/>
      </c>
      <c r="H306" s="27">
        <f>IF(F306=0,"",F306-E306)</f>
        <v/>
      </c>
      <c r="I306" s="24" t="inlineStr">
        <is>
          <t>100g plate</t>
        </is>
      </c>
    </row>
    <row r="307">
      <c r="A307" t="inlineStr">
        <is>
          <t xml:space="preserve">   Moong Dal</t>
        </is>
      </c>
      <c r="B307" t="n">
        <v>1</v>
      </c>
      <c r="C307" t="inlineStr">
        <is>
          <t>kg</t>
        </is>
      </c>
      <c r="D307" s="13" t="n">
        <v>120</v>
      </c>
    </row>
    <row r="308">
      <c r="A308" t="inlineStr">
        <is>
          <t xml:space="preserve">   Desi Ghee</t>
        </is>
      </c>
      <c r="B308" t="n">
        <v>800</v>
      </c>
      <c r="C308" t="inlineStr">
        <is>
          <t>g</t>
        </is>
      </c>
      <c r="D308" s="13" t="n">
        <v>394.4</v>
      </c>
    </row>
    <row r="309">
      <c r="A309" t="inlineStr">
        <is>
          <t xml:space="preserve">   Shakkar</t>
        </is>
      </c>
      <c r="B309" t="n">
        <v>1.4</v>
      </c>
      <c r="C309" t="inlineStr">
        <is>
          <t>kg</t>
        </is>
      </c>
      <c r="D309" s="13" t="n">
        <v>59.64</v>
      </c>
    </row>
    <row r="310">
      <c r="A310" t="inlineStr">
        <is>
          <t xml:space="preserve">   Paani</t>
        </is>
      </c>
      <c r="B310" t="n">
        <v>3</v>
      </c>
      <c r="C310" t="inlineStr">
        <is>
          <t>kg</t>
        </is>
      </c>
      <c r="D310" s="13" t="n">
        <v>0</v>
      </c>
    </row>
    <row r="311">
      <c r="A311" t="inlineStr">
        <is>
          <t xml:space="preserve">   Kaju</t>
        </is>
      </c>
      <c r="B311" t="n">
        <v>250</v>
      </c>
      <c r="C311" t="inlineStr">
        <is>
          <t>g</t>
        </is>
      </c>
      <c r="D311" s="13" t="n">
        <v>205</v>
      </c>
    </row>
    <row r="312">
      <c r="A312" t="inlineStr">
        <is>
          <t xml:space="preserve">   Elaichi</t>
        </is>
      </c>
      <c r="B312" t="n">
        <v>8</v>
      </c>
      <c r="C312" t="inlineStr">
        <is>
          <t>g</t>
        </is>
      </c>
      <c r="D312" s="13" t="n">
        <v>25.6</v>
      </c>
    </row>
    <row r="313">
      <c r="A313" s="21" t="inlineStr">
        <is>
          <t>FALAHARI</t>
        </is>
      </c>
      <c r="B313" s="22" t="n"/>
      <c r="C313" s="22" t="n"/>
      <c r="D313" s="22" t="n"/>
      <c r="E313" s="22" t="n"/>
      <c r="F313" s="22" t="n"/>
      <c r="G313" s="22" t="n"/>
      <c r="H313" s="22" t="n"/>
      <c r="I313" s="22" t="n"/>
    </row>
    <row r="314">
      <c r="A314" s="23" t="inlineStr">
        <is>
          <t>Falahari Singada Aloo Bhajiya</t>
        </is>
      </c>
      <c r="B314" s="28" t="inlineStr">
        <is>
          <t>batch 117</t>
        </is>
      </c>
      <c r="C314" s="24" t="n"/>
      <c r="D314" s="24" t="n"/>
      <c r="E314" s="25" t="n">
        <v>23.5</v>
      </c>
      <c r="F314" s="14" t="n">
        <v>100</v>
      </c>
      <c r="G314" s="26">
        <f>IF(F314=0,"",E314/F314)</f>
        <v/>
      </c>
      <c r="H314" s="27">
        <f>IF(F314=0,"",F314-E314)</f>
        <v/>
      </c>
      <c r="I314" s="24" t="inlineStr">
        <is>
          <t>plate</t>
        </is>
      </c>
    </row>
    <row r="315">
      <c r="A315" t="inlineStr">
        <is>
          <t xml:space="preserve">   Aloo</t>
        </is>
      </c>
      <c r="B315" t="n">
        <v>1</v>
      </c>
      <c r="C315" t="inlineStr">
        <is>
          <t>kg</t>
        </is>
      </c>
      <c r="D315" s="13" t="n">
        <v>30</v>
      </c>
    </row>
    <row r="316">
      <c r="A316" t="inlineStr">
        <is>
          <t xml:space="preserve">   Singhada Atta</t>
        </is>
      </c>
      <c r="B316" t="n">
        <v>400</v>
      </c>
      <c r="C316" t="inlineStr">
        <is>
          <t>g</t>
        </is>
      </c>
      <c r="D316" s="13" t="n">
        <v>72</v>
      </c>
    </row>
    <row r="317">
      <c r="A317" t="inlineStr">
        <is>
          <t xml:space="preserve">   Sendha Namak</t>
        </is>
      </c>
      <c r="B317" t="n">
        <v>20</v>
      </c>
      <c r="C317" t="inlineStr">
        <is>
          <t>g</t>
        </is>
      </c>
      <c r="D317" s="13" t="n">
        <v>2</v>
      </c>
    </row>
    <row r="318">
      <c r="A318" t="inlineStr">
        <is>
          <t xml:space="preserve">   Kali Mirch</t>
        </is>
      </c>
      <c r="B318" t="n">
        <v>10</v>
      </c>
      <c r="C318" t="inlineStr">
        <is>
          <t>g</t>
        </is>
      </c>
      <c r="D318" s="13" t="n">
        <v>9.800000000000001</v>
      </c>
    </row>
    <row r="319">
      <c r="A319" t="inlineStr">
        <is>
          <t xml:space="preserve">   Aamchur</t>
        </is>
      </c>
      <c r="B319" t="n">
        <v>10</v>
      </c>
      <c r="C319" t="inlineStr">
        <is>
          <t>g</t>
        </is>
      </c>
      <c r="D319" s="13" t="n">
        <v>1.4</v>
      </c>
    </row>
    <row r="320">
      <c r="A320" t="inlineStr">
        <is>
          <t xml:space="preserve">   Jeera</t>
        </is>
      </c>
      <c r="B320" t="n">
        <v>6</v>
      </c>
      <c r="C320" t="inlineStr">
        <is>
          <t>g</t>
        </is>
      </c>
      <c r="D320" s="13" t="n">
        <v>2.28</v>
      </c>
    </row>
    <row r="321">
      <c r="A321" s="21" t="inlineStr">
        <is>
          <t>HALWA</t>
        </is>
      </c>
      <c r="B321" s="22" t="n"/>
      <c r="C321" s="22" t="n"/>
      <c r="D321" s="22" t="n"/>
      <c r="E321" s="22" t="n"/>
      <c r="F321" s="22" t="n"/>
      <c r="G321" s="22" t="n"/>
      <c r="H321" s="22" t="n"/>
      <c r="I321" s="22" t="n"/>
    </row>
    <row r="322">
      <c r="A322" s="23" t="inlineStr">
        <is>
          <t>Gajar Halwa</t>
        </is>
      </c>
      <c r="B322" s="28" t="inlineStr">
        <is>
          <t>batch 1932</t>
        </is>
      </c>
      <c r="C322" s="24" t="n"/>
      <c r="D322" s="24" t="n"/>
      <c r="E322" s="25" t="n">
        <v>32.21</v>
      </c>
      <c r="F322" s="14" t="n">
        <v>80</v>
      </c>
      <c r="G322" s="26">
        <f>IF(F322=0,"",E322/F322)</f>
        <v/>
      </c>
      <c r="H322" s="27">
        <f>IF(F322=0,"",F322-E322)</f>
        <v/>
      </c>
      <c r="I322" s="24" t="inlineStr">
        <is>
          <t>100g plate</t>
        </is>
      </c>
    </row>
    <row r="323">
      <c r="A323" t="inlineStr">
        <is>
          <t xml:space="preserve">   Gajar</t>
        </is>
      </c>
      <c r="B323" t="n">
        <v>5</v>
      </c>
      <c r="C323" t="inlineStr">
        <is>
          <t>kg</t>
        </is>
      </c>
      <c r="D323" s="13" t="n">
        <v>300</v>
      </c>
    </row>
    <row r="324">
      <c r="A324" t="inlineStr">
        <is>
          <t xml:space="preserve">   Shakkar</t>
        </is>
      </c>
      <c r="B324" t="n">
        <v>2.5</v>
      </c>
      <c r="C324" t="inlineStr">
        <is>
          <t>kg</t>
        </is>
      </c>
      <c r="D324" s="13" t="n">
        <v>106.5</v>
      </c>
    </row>
    <row r="325">
      <c r="A325" t="inlineStr">
        <is>
          <t xml:space="preserve">   Safed Khoya/Mawa</t>
        </is>
      </c>
      <c r="B325" t="n">
        <v>2.5</v>
      </c>
      <c r="C325" t="inlineStr">
        <is>
          <t>kg</t>
        </is>
      </c>
      <c r="D325" s="13" t="n">
        <v>575</v>
      </c>
    </row>
    <row r="326">
      <c r="A326" t="inlineStr">
        <is>
          <t xml:space="preserve">   Desi Ghee</t>
        </is>
      </c>
      <c r="B326" t="n">
        <v>1</v>
      </c>
      <c r="C326" t="inlineStr">
        <is>
          <t>kg</t>
        </is>
      </c>
      <c r="D326" s="13" t="n">
        <v>493</v>
      </c>
    </row>
    <row r="327">
      <c r="A327" t="inlineStr">
        <is>
          <t xml:space="preserve">   Elaichi</t>
        </is>
      </c>
      <c r="B327" t="n">
        <v>15</v>
      </c>
      <c r="C327" t="inlineStr">
        <is>
          <t>g</t>
        </is>
      </c>
      <c r="D327" s="13" t="n">
        <v>48</v>
      </c>
    </row>
    <row r="328">
      <c r="A328" t="inlineStr">
        <is>
          <t xml:space="preserve">   Kaju</t>
        </is>
      </c>
      <c r="B328" t="n">
        <v>500</v>
      </c>
      <c r="C328" t="inlineStr">
        <is>
          <t>g</t>
        </is>
      </c>
      <c r="D328" s="13" t="n">
        <v>410</v>
      </c>
    </row>
    <row r="329">
      <c r="A329" s="21" t="inlineStr">
        <is>
          <t>DOODH</t>
        </is>
      </c>
      <c r="B329" s="22" t="n"/>
      <c r="C329" s="22" t="n"/>
      <c r="D329" s="22" t="n"/>
      <c r="E329" s="22" t="n"/>
      <c r="F329" s="22" t="n"/>
      <c r="G329" s="22" t="n"/>
      <c r="H329" s="22" t="n"/>
      <c r="I329" s="22" t="n"/>
    </row>
    <row r="330">
      <c r="A330" s="23" t="inlineStr">
        <is>
          <t>Badaam Milk</t>
        </is>
      </c>
      <c r="B330" s="28" t="inlineStr">
        <is>
          <t>batch 522</t>
        </is>
      </c>
      <c r="C330" s="24" t="n"/>
      <c r="D330" s="24" t="n"/>
      <c r="E330" s="25" t="n">
        <v>72.55</v>
      </c>
      <c r="F330" s="14" t="n">
        <v>170</v>
      </c>
      <c r="G330" s="26">
        <f>IF(F330=0,"",E330/F330)</f>
        <v/>
      </c>
      <c r="H330" s="27">
        <f>IF(F330=0,"",F330-E330)</f>
        <v/>
      </c>
      <c r="I330" s="24" t="inlineStr">
        <is>
          <t>250ml glass</t>
        </is>
      </c>
    </row>
    <row r="331">
      <c r="A331" t="inlineStr">
        <is>
          <t xml:space="preserve">   Bhais Milk</t>
        </is>
      </c>
      <c r="B331" t="n">
        <v>5</v>
      </c>
      <c r="C331" t="inlineStr">
        <is>
          <t>l</t>
        </is>
      </c>
      <c r="D331" s="13" t="n">
        <v>360</v>
      </c>
    </row>
    <row r="332">
      <c r="A332" t="inlineStr">
        <is>
          <t xml:space="preserve">   Shakkar</t>
        </is>
      </c>
      <c r="B332" t="n">
        <v>250</v>
      </c>
      <c r="C332" t="inlineStr">
        <is>
          <t>g</t>
        </is>
      </c>
      <c r="D332" s="13" t="n">
        <v>10.65</v>
      </c>
    </row>
    <row r="333">
      <c r="A333" t="inlineStr">
        <is>
          <t xml:space="preserve">   Kesar</t>
        </is>
      </c>
      <c r="B333" t="n">
        <v>2</v>
      </c>
      <c r="C333" t="inlineStr">
        <is>
          <t>g</t>
        </is>
      </c>
      <c r="D333" s="13" t="n">
        <v>1.7</v>
      </c>
    </row>
    <row r="334">
      <c r="A334" t="inlineStr">
        <is>
          <t xml:space="preserve">   Badaam</t>
        </is>
      </c>
      <c r="B334" t="n">
        <v>200</v>
      </c>
      <c r="C334" t="inlineStr">
        <is>
          <t>g</t>
        </is>
      </c>
      <c r="D334" s="13" t="n">
        <v>150</v>
      </c>
    </row>
    <row r="335">
      <c r="A335" s="23" t="inlineStr">
        <is>
          <t>Thandai</t>
        </is>
      </c>
      <c r="B335" s="28" t="inlineStr">
        <is>
          <t>batch 540</t>
        </is>
      </c>
      <c r="C335" s="24" t="n"/>
      <c r="D335" s="24" t="n"/>
      <c r="E335" s="25" t="n">
        <v>75.02</v>
      </c>
      <c r="F335" s="14" t="n">
        <v>150</v>
      </c>
      <c r="G335" s="26">
        <f>IF(F335=0,"",E335/F335)</f>
        <v/>
      </c>
      <c r="H335" s="27">
        <f>IF(F335=0,"",F335-E335)</f>
        <v/>
      </c>
      <c r="I335" s="24" t="inlineStr">
        <is>
          <t>250ml glass</t>
        </is>
      </c>
    </row>
    <row r="336">
      <c r="A336" t="inlineStr">
        <is>
          <t xml:space="preserve">   Bhais Milk</t>
        </is>
      </c>
      <c r="B336" t="n">
        <v>5</v>
      </c>
      <c r="C336" t="inlineStr">
        <is>
          <t>l</t>
        </is>
      </c>
      <c r="D336" s="13" t="n">
        <v>360</v>
      </c>
    </row>
    <row r="337">
      <c r="A337" t="inlineStr">
        <is>
          <t xml:space="preserve">   Shakkar</t>
        </is>
      </c>
      <c r="B337" t="n">
        <v>250</v>
      </c>
      <c r="C337" t="inlineStr">
        <is>
          <t>g</t>
        </is>
      </c>
      <c r="D337" s="13" t="n">
        <v>10.65</v>
      </c>
    </row>
    <row r="338">
      <c r="A338" t="inlineStr">
        <is>
          <t xml:space="preserve">   Kesar</t>
        </is>
      </c>
      <c r="B338" t="n">
        <v>2</v>
      </c>
      <c r="C338" t="inlineStr">
        <is>
          <t>g</t>
        </is>
      </c>
      <c r="D338" s="13" t="n">
        <v>1.7</v>
      </c>
    </row>
    <row r="339">
      <c r="A339" t="inlineStr">
        <is>
          <t xml:space="preserve">   Badaam</t>
        </is>
      </c>
      <c r="B339" t="n">
        <v>200</v>
      </c>
      <c r="C339" t="inlineStr">
        <is>
          <t>g</t>
        </is>
      </c>
      <c r="D339" s="13" t="n">
        <v>150</v>
      </c>
    </row>
    <row r="340">
      <c r="A340" t="inlineStr">
        <is>
          <t xml:space="preserve">   Kali Mirch</t>
        </is>
      </c>
      <c r="B340" t="n">
        <v>10</v>
      </c>
      <c r="C340" t="inlineStr">
        <is>
          <t>g</t>
        </is>
      </c>
      <c r="D340" s="13" t="n">
        <v>9.800000000000001</v>
      </c>
    </row>
    <row r="341">
      <c r="A341" t="inlineStr">
        <is>
          <t xml:space="preserve">   Gulab Patti</t>
        </is>
      </c>
      <c r="B341" t="n">
        <v>10</v>
      </c>
      <c r="C341" t="inlineStr">
        <is>
          <t>g</t>
        </is>
      </c>
      <c r="D341" s="13" t="n">
        <v>8</v>
      </c>
    </row>
    <row r="342">
      <c r="A342" s="21" t="inlineStr">
        <is>
          <t>PAKORA</t>
        </is>
      </c>
      <c r="B342" s="22" t="n"/>
      <c r="C342" s="22" t="n"/>
      <c r="D342" s="22" t="n"/>
      <c r="E342" s="22" t="n"/>
      <c r="F342" s="22" t="n"/>
      <c r="G342" s="22" t="n"/>
      <c r="H342" s="22" t="n"/>
      <c r="I342" s="22" t="n"/>
    </row>
    <row r="343">
      <c r="A343" s="23" t="inlineStr">
        <is>
          <t>Pyaz Pakora</t>
        </is>
      </c>
      <c r="B343" s="28" t="inlineStr">
        <is>
          <t>batch 29</t>
        </is>
      </c>
      <c r="C343" s="24" t="n"/>
      <c r="D343" s="24" t="n"/>
      <c r="E343" s="25" t="n">
        <v>4.14</v>
      </c>
      <c r="F343" s="14" t="n">
        <v>35</v>
      </c>
      <c r="G343" s="26">
        <f>IF(F343=0,"",E343/F343)</f>
        <v/>
      </c>
      <c r="H343" s="27">
        <f>IF(F343=0,"",F343-E343)</f>
        <v/>
      </c>
      <c r="I343" s="24" t="inlineStr">
        <is>
          <t>plate</t>
        </is>
      </c>
    </row>
    <row r="344">
      <c r="A344" t="inlineStr">
        <is>
          <t xml:space="preserve">   Pyaz</t>
        </is>
      </c>
      <c r="B344" t="n">
        <v>550</v>
      </c>
      <c r="C344" t="inlineStr">
        <is>
          <t>g</t>
        </is>
      </c>
      <c r="D344" s="13" t="n">
        <v>9.9</v>
      </c>
    </row>
    <row r="345">
      <c r="A345" t="inlineStr">
        <is>
          <t xml:space="preserve">   Besan</t>
        </is>
      </c>
      <c r="B345" t="n">
        <v>200</v>
      </c>
      <c r="C345" t="inlineStr">
        <is>
          <t>g</t>
        </is>
      </c>
      <c r="D345" s="13" t="n">
        <v>17</v>
      </c>
    </row>
    <row r="346">
      <c r="A346" t="inlineStr">
        <is>
          <t xml:space="preserve">   Safed Namak</t>
        </is>
      </c>
      <c r="B346" t="n">
        <v>10</v>
      </c>
      <c r="C346" t="inlineStr">
        <is>
          <t>g</t>
        </is>
      </c>
      <c r="D346" s="13" t="n">
        <v>0.3</v>
      </c>
    </row>
    <row r="347">
      <c r="A347" t="inlineStr">
        <is>
          <t xml:space="preserve">   Lal Mirch</t>
        </is>
      </c>
      <c r="B347" t="n">
        <v>4</v>
      </c>
      <c r="C347" t="inlineStr">
        <is>
          <t>g</t>
        </is>
      </c>
      <c r="D347" s="13" t="n">
        <v>1.76</v>
      </c>
    </row>
    <row r="348">
      <c r="A348" s="23" t="inlineStr">
        <is>
          <t>Mix Pakora</t>
        </is>
      </c>
      <c r="B348" s="28" t="inlineStr">
        <is>
          <t>batch 20</t>
        </is>
      </c>
      <c r="C348" s="24" t="n"/>
      <c r="D348" s="24" t="n"/>
      <c r="E348" s="25" t="n">
        <v>2.84</v>
      </c>
      <c r="F348" s="14" t="n">
        <v>35</v>
      </c>
      <c r="G348" s="26">
        <f>IF(F348=0,"",E348/F348)</f>
        <v/>
      </c>
      <c r="H348" s="27">
        <f>IF(F348=0,"",F348-E348)</f>
        <v/>
      </c>
      <c r="I348" s="24" t="inlineStr">
        <is>
          <t>plate</t>
        </is>
      </c>
    </row>
    <row r="349">
      <c r="A349" t="inlineStr">
        <is>
          <t xml:space="preserve">   Pyaz</t>
        </is>
      </c>
      <c r="B349" t="n">
        <v>370</v>
      </c>
      <c r="C349" t="inlineStr">
        <is>
          <t>g</t>
        </is>
      </c>
      <c r="D349" s="13" t="n">
        <v>6.66</v>
      </c>
    </row>
    <row r="350">
      <c r="A350" t="inlineStr">
        <is>
          <t xml:space="preserve">   Aloo</t>
        </is>
      </c>
      <c r="B350" t="n">
        <v>250</v>
      </c>
      <c r="C350" t="inlineStr">
        <is>
          <t>g</t>
        </is>
      </c>
      <c r="D350" s="13" t="n">
        <v>7.5</v>
      </c>
    </row>
    <row r="351">
      <c r="A351" t="inlineStr">
        <is>
          <t xml:space="preserve">   Bada Wala Mircha</t>
        </is>
      </c>
      <c r="B351" t="n">
        <v>40</v>
      </c>
      <c r="C351" t="inlineStr">
        <is>
          <t>g</t>
        </is>
      </c>
      <c r="D351" s="13" t="n">
        <v>3.2</v>
      </c>
    </row>
    <row r="352">
      <c r="A352" t="inlineStr">
        <is>
          <t xml:space="preserve">   Safed Namak</t>
        </is>
      </c>
      <c r="B352" t="n">
        <v>10</v>
      </c>
      <c r="C352" t="inlineStr">
        <is>
          <t>g</t>
        </is>
      </c>
      <c r="D352" s="13" t="n">
        <v>0.3</v>
      </c>
    </row>
    <row r="353">
      <c r="A353" t="inlineStr">
        <is>
          <t xml:space="preserve">   Lal Mirch</t>
        </is>
      </c>
      <c r="B353" t="n">
        <v>5</v>
      </c>
      <c r="C353" t="inlineStr">
        <is>
          <t>g</t>
        </is>
      </c>
      <c r="D353" s="13" t="n">
        <v>2.2</v>
      </c>
    </row>
    <row r="354">
      <c r="A354" s="23" t="inlineStr">
        <is>
          <t>Paneer Pakora</t>
        </is>
      </c>
      <c r="B354" s="24" t="n"/>
      <c r="C354" s="24" t="n"/>
      <c r="D354" s="24" t="n"/>
      <c r="E354" s="25" t="n">
        <v>47.13</v>
      </c>
      <c r="F354" s="14" t="n">
        <v>99</v>
      </c>
      <c r="G354" s="26">
        <f>IF(F354=0,"",E354/F354)</f>
        <v/>
      </c>
      <c r="H354" s="27">
        <f>IF(F354=0,"",F354-E354)</f>
        <v/>
      </c>
      <c r="I354" s="24" t="inlineStr">
        <is>
          <t>plate</t>
        </is>
      </c>
    </row>
    <row r="355">
      <c r="A355" t="inlineStr">
        <is>
          <t xml:space="preserve">   Paneer</t>
        </is>
      </c>
      <c r="B355" t="n">
        <v>80</v>
      </c>
      <c r="C355" t="inlineStr">
        <is>
          <t>g</t>
        </is>
      </c>
      <c r="D355" s="13" t="n">
        <v>22.4</v>
      </c>
    </row>
    <row r="356">
      <c r="A356" t="inlineStr">
        <is>
          <t xml:space="preserve">   Besan</t>
        </is>
      </c>
      <c r="B356" t="n">
        <v>80</v>
      </c>
      <c r="C356" t="inlineStr">
        <is>
          <t>g</t>
        </is>
      </c>
      <c r="D356" s="13" t="n">
        <v>6.8</v>
      </c>
    </row>
    <row r="357">
      <c r="A357" t="inlineStr">
        <is>
          <t xml:space="preserve">   Safed Namak</t>
        </is>
      </c>
      <c r="B357" t="n">
        <v>4</v>
      </c>
      <c r="C357" t="inlineStr">
        <is>
          <t>g</t>
        </is>
      </c>
      <c r="D357" s="13" t="n">
        <v>0.12</v>
      </c>
    </row>
    <row r="358">
      <c r="A358" t="inlineStr">
        <is>
          <t xml:space="preserve">   Refined Oil</t>
        </is>
      </c>
      <c r="B358" t="n">
        <v>50</v>
      </c>
      <c r="C358" t="inlineStr">
        <is>
          <t>g</t>
        </is>
      </c>
      <c r="D358" s="13" t="n">
        <v>8.6</v>
      </c>
    </row>
    <row r="359">
      <c r="A359" t="inlineStr">
        <is>
          <t xml:space="preserve">   Lal Masala</t>
        </is>
      </c>
      <c r="B359" t="n">
        <v>20</v>
      </c>
      <c r="C359" t="inlineStr">
        <is>
          <t>g</t>
        </is>
      </c>
      <c r="D359" s="13" t="n">
        <v>7.15</v>
      </c>
    </row>
    <row r="360">
      <c r="A360" t="inlineStr">
        <is>
          <t xml:space="preserve">   Hari Chatni</t>
        </is>
      </c>
      <c r="B360" t="n">
        <v>20</v>
      </c>
      <c r="C360" t="inlineStr">
        <is>
          <t>g</t>
        </is>
      </c>
      <c r="D360" s="13" t="n">
        <v>0.85</v>
      </c>
    </row>
    <row r="361">
      <c r="A361" t="inlineStr">
        <is>
          <t xml:space="preserve">   Saunth (Meethi Chatni)</t>
        </is>
      </c>
      <c r="B361" t="n">
        <v>20</v>
      </c>
      <c r="C361" t="inlineStr">
        <is>
          <t>g</t>
        </is>
      </c>
      <c r="D361" s="13" t="n">
        <v>1.21</v>
      </c>
    </row>
    <row r="362">
      <c r="A362" s="23" t="inlineStr">
        <is>
          <t>Moong Bhajiya</t>
        </is>
      </c>
      <c r="B362" s="28" t="inlineStr">
        <is>
          <t>batch 90</t>
        </is>
      </c>
      <c r="C362" s="24" t="n"/>
      <c r="D362" s="24" t="n"/>
      <c r="E362" s="25" t="n">
        <v>22.41</v>
      </c>
      <c r="F362" s="14" t="n">
        <v>50</v>
      </c>
      <c r="G362" s="26">
        <f>IF(F362=0,"",E362/F362)</f>
        <v/>
      </c>
      <c r="H362" s="27">
        <f>IF(F362=0,"",F362-E362)</f>
        <v/>
      </c>
      <c r="I362" s="24" t="inlineStr">
        <is>
          <t>plate</t>
        </is>
      </c>
    </row>
    <row r="363">
      <c r="A363" t="inlineStr">
        <is>
          <t xml:space="preserve">   Moong Dal</t>
        </is>
      </c>
      <c r="B363" t="n">
        <v>250</v>
      </c>
      <c r="C363" t="inlineStr">
        <is>
          <t>g</t>
        </is>
      </c>
      <c r="D363" s="13" t="n">
        <v>30</v>
      </c>
    </row>
    <row r="364">
      <c r="A364" t="inlineStr">
        <is>
          <t xml:space="preserve">   Sabut Dhaniya</t>
        </is>
      </c>
      <c r="B364" t="n">
        <v>10</v>
      </c>
      <c r="C364" t="inlineStr">
        <is>
          <t>g</t>
        </is>
      </c>
      <c r="D364" s="13" t="n">
        <v>2.2</v>
      </c>
    </row>
    <row r="365">
      <c r="A365" t="inlineStr">
        <is>
          <t xml:space="preserve">   Safed Namak</t>
        </is>
      </c>
      <c r="B365" t="n">
        <v>10</v>
      </c>
      <c r="C365" t="inlineStr">
        <is>
          <t>g</t>
        </is>
      </c>
      <c r="D365" s="13" t="n">
        <v>0.3</v>
      </c>
    </row>
    <row r="366">
      <c r="A366" t="inlineStr">
        <is>
          <t xml:space="preserve">   Kali Mirch</t>
        </is>
      </c>
      <c r="B366" t="n">
        <v>2</v>
      </c>
      <c r="C366" t="inlineStr">
        <is>
          <t>g</t>
        </is>
      </c>
      <c r="D366" s="13" t="n">
        <v>1.96</v>
      </c>
    </row>
    <row r="367">
      <c r="A367" t="inlineStr">
        <is>
          <t xml:space="preserve">   Lal Mirch</t>
        </is>
      </c>
      <c r="B367" t="n">
        <v>2</v>
      </c>
      <c r="C367" t="inlineStr">
        <is>
          <t>g</t>
        </is>
      </c>
      <c r="D367" s="13" t="n">
        <v>0.88</v>
      </c>
    </row>
    <row r="368">
      <c r="A368" t="inlineStr">
        <is>
          <t xml:space="preserve">   Hari Chatni</t>
        </is>
      </c>
      <c r="B368" t="n">
        <v>200</v>
      </c>
      <c r="C368" t="inlineStr">
        <is>
          <t>g</t>
        </is>
      </c>
      <c r="D368" s="13" t="n">
        <v>8.49</v>
      </c>
    </row>
    <row r="369">
      <c r="A369" t="inlineStr">
        <is>
          <t xml:space="preserve">   Lal Masala</t>
        </is>
      </c>
      <c r="B369" t="n">
        <v>80</v>
      </c>
      <c r="C369" t="inlineStr">
        <is>
          <t>g</t>
        </is>
      </c>
      <c r="D369" s="13" t="n">
        <v>28.61</v>
      </c>
    </row>
    <row r="370">
      <c r="A370" t="inlineStr">
        <is>
          <t xml:space="preserve">   Refined Oil</t>
        </is>
      </c>
      <c r="B370" t="n">
        <v>100</v>
      </c>
      <c r="C370" t="inlineStr">
        <is>
          <t>g</t>
        </is>
      </c>
      <c r="D370" s="13" t="n">
        <v>17.2</v>
      </c>
    </row>
    <row r="371">
      <c r="A371" s="23" t="inlineStr">
        <is>
          <t>Mirchi Bada</t>
        </is>
      </c>
      <c r="B371" s="28" t="inlineStr">
        <is>
          <t>batch 69</t>
        </is>
      </c>
      <c r="C371" s="24" t="n"/>
      <c r="D371" s="24" t="n"/>
      <c r="E371" s="25" t="n">
        <v>22.87</v>
      </c>
      <c r="F371" s="14" t="n">
        <v>40</v>
      </c>
      <c r="G371" s="26">
        <f>IF(F371=0,"",E371/F371)</f>
        <v/>
      </c>
      <c r="H371" s="27">
        <f>IF(F371=0,"",F371-E371)</f>
        <v/>
      </c>
      <c r="I371" s="24" t="inlineStr">
        <is>
          <t>plate (2pc)</t>
        </is>
      </c>
    </row>
    <row r="372">
      <c r="A372" t="inlineStr">
        <is>
          <t xml:space="preserve">   Bada Wala Mircha</t>
        </is>
      </c>
      <c r="B372" t="n">
        <v>250</v>
      </c>
      <c r="C372" t="inlineStr">
        <is>
          <t>g</t>
        </is>
      </c>
      <c r="D372" s="13" t="n">
        <v>20</v>
      </c>
    </row>
    <row r="373">
      <c r="A373" t="inlineStr">
        <is>
          <t xml:space="preserve">   Aloo Samosa Masala</t>
        </is>
      </c>
      <c r="B373" t="n">
        <v>360</v>
      </c>
      <c r="C373" t="inlineStr">
        <is>
          <t>g</t>
        </is>
      </c>
      <c r="D373" s="13" t="n">
        <v>16.12</v>
      </c>
    </row>
    <row r="374">
      <c r="A374" t="inlineStr">
        <is>
          <t xml:space="preserve">   Besan</t>
        </is>
      </c>
      <c r="B374" t="n">
        <v>180</v>
      </c>
      <c r="C374" t="inlineStr">
        <is>
          <t>g</t>
        </is>
      </c>
      <c r="D374" s="13" t="n">
        <v>15.3</v>
      </c>
    </row>
    <row r="375">
      <c r="A375" t="inlineStr">
        <is>
          <t xml:space="preserve">   Refined Oil</t>
        </is>
      </c>
      <c r="B375" t="n">
        <v>100</v>
      </c>
      <c r="C375" t="inlineStr">
        <is>
          <t>g</t>
        </is>
      </c>
      <c r="D375" s="13" t="n">
        <v>17.2</v>
      </c>
    </row>
    <row r="376">
      <c r="A376" s="21" t="inlineStr">
        <is>
          <t>FALAHARI</t>
        </is>
      </c>
      <c r="B376" s="22" t="n"/>
      <c r="C376" s="22" t="n"/>
      <c r="D376" s="22" t="n"/>
      <c r="E376" s="22" t="n"/>
      <c r="F376" s="22" t="n"/>
      <c r="G376" s="22" t="n"/>
      <c r="H376" s="22" t="n"/>
      <c r="I376" s="22" t="n"/>
    </row>
    <row r="377">
      <c r="A377" s="23" t="inlineStr">
        <is>
          <t>Falahari Aloo Chaat</t>
        </is>
      </c>
      <c r="B377" s="24" t="n"/>
      <c r="C377" s="24" t="n"/>
      <c r="D377" s="24" t="n"/>
      <c r="E377" s="25" t="n">
        <v>9.1</v>
      </c>
      <c r="F377" s="14" t="n">
        <v>80</v>
      </c>
      <c r="G377" s="26">
        <f>IF(F377=0,"",E377/F377)</f>
        <v/>
      </c>
      <c r="H377" s="27">
        <f>IF(F377=0,"",F377-E377)</f>
        <v/>
      </c>
      <c r="I377" s="24" t="inlineStr">
        <is>
          <t>plate</t>
        </is>
      </c>
    </row>
    <row r="378">
      <c r="A378" t="inlineStr">
        <is>
          <t xml:space="preserve">   Aloo</t>
        </is>
      </c>
      <c r="B378" t="n">
        <v>200</v>
      </c>
      <c r="C378" t="inlineStr">
        <is>
          <t>g</t>
        </is>
      </c>
      <c r="D378" s="13" t="n">
        <v>6</v>
      </c>
    </row>
    <row r="379">
      <c r="A379" t="inlineStr">
        <is>
          <t xml:space="preserve">   Jeera</t>
        </is>
      </c>
      <c r="B379" t="n">
        <v>1.2</v>
      </c>
      <c r="C379" t="inlineStr">
        <is>
          <t>g</t>
        </is>
      </c>
      <c r="D379" s="13" t="n">
        <v>0.46</v>
      </c>
    </row>
    <row r="380">
      <c r="A380" t="inlineStr">
        <is>
          <t xml:space="preserve">   Sendha Namak</t>
        </is>
      </c>
      <c r="B380" t="n">
        <v>4</v>
      </c>
      <c r="C380" t="inlineStr">
        <is>
          <t>g</t>
        </is>
      </c>
      <c r="D380" s="13" t="n">
        <v>0.4</v>
      </c>
    </row>
    <row r="381">
      <c r="A381" t="inlineStr">
        <is>
          <t xml:space="preserve">   Kali Mirch</t>
        </is>
      </c>
      <c r="B381" t="n">
        <v>2</v>
      </c>
      <c r="C381" t="inlineStr">
        <is>
          <t>g</t>
        </is>
      </c>
      <c r="D381" s="13" t="n">
        <v>1.96</v>
      </c>
    </row>
    <row r="382">
      <c r="A382" t="inlineStr">
        <is>
          <t xml:space="preserve">   Aamchur</t>
        </is>
      </c>
      <c r="B382" t="n">
        <v>2</v>
      </c>
      <c r="C382" t="inlineStr">
        <is>
          <t>g</t>
        </is>
      </c>
      <c r="D382" s="13" t="n">
        <v>0.28</v>
      </c>
    </row>
    <row r="383">
      <c r="A383" s="21" t="inlineStr">
        <is>
          <t>SNACKS</t>
        </is>
      </c>
      <c r="B383" s="22" t="n"/>
      <c r="C383" s="22" t="n"/>
      <c r="D383" s="22" t="n"/>
      <c r="E383" s="22" t="n"/>
      <c r="F383" s="22" t="n"/>
      <c r="G383" s="22" t="n"/>
      <c r="H383" s="22" t="n"/>
      <c r="I383" s="22" t="n"/>
    </row>
    <row r="384">
      <c r="A384" s="23" t="inlineStr">
        <is>
          <t>Khaman Dhokla (100g)</t>
        </is>
      </c>
      <c r="B384" s="28" t="inlineStr">
        <is>
          <t>batch 70</t>
        </is>
      </c>
      <c r="C384" s="24" t="n"/>
      <c r="D384" s="24" t="n"/>
      <c r="E384" s="25" t="n">
        <v>2</v>
      </c>
      <c r="F384" s="14" t="n">
        <v>40</v>
      </c>
      <c r="G384" s="26">
        <f>IF(F384=0,"",E384/F384)</f>
        <v/>
      </c>
      <c r="H384" s="27">
        <f>IF(F384=0,"",F384-E384)</f>
        <v/>
      </c>
      <c r="I384" s="24" t="inlineStr">
        <is>
          <t>100g plate</t>
        </is>
      </c>
    </row>
    <row r="385">
      <c r="A385" t="inlineStr">
        <is>
          <t xml:space="preserve">   Besan</t>
        </is>
      </c>
      <c r="B385" t="n">
        <v>500</v>
      </c>
      <c r="C385" t="inlineStr">
        <is>
          <t>g</t>
        </is>
      </c>
      <c r="D385" s="13" t="n">
        <v>42.5</v>
      </c>
    </row>
    <row r="386">
      <c r="A386" t="inlineStr">
        <is>
          <t xml:space="preserve">   Shakkar</t>
        </is>
      </c>
      <c r="B386" t="n">
        <v>100</v>
      </c>
      <c r="C386" t="inlineStr">
        <is>
          <t>g</t>
        </is>
      </c>
      <c r="D386" s="13" t="n">
        <v>4.26</v>
      </c>
    </row>
    <row r="387">
      <c r="A387" t="inlineStr">
        <is>
          <t xml:space="preserve">   Safed Namak</t>
        </is>
      </c>
      <c r="B387" t="n">
        <v>25</v>
      </c>
      <c r="C387" t="inlineStr">
        <is>
          <t>g</t>
        </is>
      </c>
      <c r="D387" s="13" t="n">
        <v>0.75</v>
      </c>
    </row>
    <row r="388">
      <c r="A388" t="inlineStr">
        <is>
          <t xml:space="preserve">   Nimbu Satv (Satri)</t>
        </is>
      </c>
      <c r="B388" t="n">
        <v>20</v>
      </c>
      <c r="C388" t="inlineStr">
        <is>
          <t>g</t>
        </is>
      </c>
      <c r="D388" s="13" t="n">
        <v>3.8</v>
      </c>
    </row>
    <row r="389">
      <c r="A389" t="inlineStr">
        <is>
          <t xml:space="preserve">   Refined Oil</t>
        </is>
      </c>
      <c r="B389" t="n">
        <v>100</v>
      </c>
      <c r="C389" t="inlineStr">
        <is>
          <t>g</t>
        </is>
      </c>
      <c r="D389" s="13" t="n">
        <v>17.2</v>
      </c>
    </row>
    <row r="390">
      <c r="A390" t="inlineStr">
        <is>
          <t xml:space="preserve">   Meetha Soda</t>
        </is>
      </c>
      <c r="B390" t="n">
        <v>17</v>
      </c>
      <c r="C390" t="inlineStr">
        <is>
          <t>g</t>
        </is>
      </c>
      <c r="D390" s="13" t="n">
        <v>1.36</v>
      </c>
    </row>
    <row r="391">
      <c r="A391" t="inlineStr">
        <is>
          <t xml:space="preserve">   Paani</t>
        </is>
      </c>
      <c r="B391" t="n">
        <v>600</v>
      </c>
      <c r="C391" t="inlineStr">
        <is>
          <t>g</t>
        </is>
      </c>
      <c r="D391" s="13" t="n">
        <v>0</v>
      </c>
    </row>
    <row r="392">
      <c r="A392" s="21" t="inlineStr">
        <is>
          <t>PARATHE</t>
        </is>
      </c>
      <c r="B392" s="22" t="n"/>
      <c r="C392" s="22" t="n"/>
      <c r="D392" s="22" t="n"/>
      <c r="E392" s="22" t="n"/>
      <c r="F392" s="22" t="n"/>
      <c r="G392" s="22" t="n"/>
      <c r="H392" s="22" t="n"/>
      <c r="I392" s="22" t="n"/>
    </row>
    <row r="393">
      <c r="A393" s="23" t="inlineStr">
        <is>
          <t>Plain Paratha</t>
        </is>
      </c>
      <c r="B393" s="24" t="n"/>
      <c r="C393" s="24" t="n"/>
      <c r="D393" s="24" t="n"/>
      <c r="E393" s="25" t="n">
        <v>9.43</v>
      </c>
      <c r="F393" s="14" t="n">
        <v>40</v>
      </c>
      <c r="G393" s="26">
        <f>IF(F393=0,"",E393/F393)</f>
        <v/>
      </c>
      <c r="H393" s="27">
        <f>IF(F393=0,"",F393-E393)</f>
        <v/>
      </c>
      <c r="I393" s="24" t="inlineStr">
        <is>
          <t>plate</t>
        </is>
      </c>
    </row>
    <row r="394">
      <c r="A394" t="inlineStr">
        <is>
          <t xml:space="preserve">   Atta</t>
        </is>
      </c>
      <c r="B394" t="n">
        <v>100</v>
      </c>
      <c r="C394" t="inlineStr">
        <is>
          <t>g</t>
        </is>
      </c>
      <c r="D394" s="13" t="n">
        <v>4</v>
      </c>
    </row>
    <row r="395">
      <c r="A395" t="inlineStr">
        <is>
          <t xml:space="preserve">   Butter</t>
        </is>
      </c>
      <c r="B395" t="n">
        <v>10</v>
      </c>
      <c r="C395" t="inlineStr">
        <is>
          <t>g</t>
        </is>
      </c>
      <c r="D395" s="13" t="n">
        <v>5.4</v>
      </c>
    </row>
    <row r="396">
      <c r="A396" t="inlineStr">
        <is>
          <t xml:space="preserve">   Safed Namak</t>
        </is>
      </c>
      <c r="B396" t="n">
        <v>1</v>
      </c>
      <c r="C396" t="inlineStr">
        <is>
          <t>g</t>
        </is>
      </c>
      <c r="D396" s="13" t="n">
        <v>0.03</v>
      </c>
    </row>
    <row r="397">
      <c r="A397" s="23" t="inlineStr">
        <is>
          <t>Aloo Paratha</t>
        </is>
      </c>
      <c r="B397" s="28" t="inlineStr">
        <is>
          <t>batch 291</t>
        </is>
      </c>
      <c r="C397" s="24" t="n"/>
      <c r="D397" s="24" t="n"/>
      <c r="E397" s="25" t="n">
        <v>17.11</v>
      </c>
      <c r="F397" s="14" t="n">
        <v>99</v>
      </c>
      <c r="G397" s="26">
        <f>IF(F397=0,"",E397/F397)</f>
        <v/>
      </c>
      <c r="H397" s="27">
        <f>IF(F397=0,"",F397-E397)</f>
        <v/>
      </c>
      <c r="I397" s="24" t="inlineStr">
        <is>
          <t>plate</t>
        </is>
      </c>
    </row>
    <row r="398">
      <c r="A398" t="inlineStr">
        <is>
          <t xml:space="preserve">   Atta</t>
        </is>
      </c>
      <c r="B398" t="n">
        <v>1</v>
      </c>
      <c r="C398" t="inlineStr">
        <is>
          <t>kg</t>
        </is>
      </c>
      <c r="D398" s="13" t="n">
        <v>40</v>
      </c>
    </row>
    <row r="399">
      <c r="A399" t="inlineStr">
        <is>
          <t xml:space="preserve">   Safed Namak</t>
        </is>
      </c>
      <c r="B399" t="n">
        <v>40</v>
      </c>
      <c r="C399" t="inlineStr">
        <is>
          <t>g</t>
        </is>
      </c>
      <c r="D399" s="13" t="n">
        <v>1.2</v>
      </c>
    </row>
    <row r="400">
      <c r="A400" t="inlineStr">
        <is>
          <t xml:space="preserve">   Pyaz</t>
        </is>
      </c>
      <c r="B400" t="n">
        <v>170</v>
      </c>
      <c r="C400" t="inlineStr">
        <is>
          <t>g</t>
        </is>
      </c>
      <c r="D400" s="13" t="n">
        <v>3.06</v>
      </c>
    </row>
    <row r="401">
      <c r="A401" t="inlineStr">
        <is>
          <t xml:space="preserve">   Butter</t>
        </is>
      </c>
      <c r="B401" t="n">
        <v>170</v>
      </c>
      <c r="C401" t="inlineStr">
        <is>
          <t>g</t>
        </is>
      </c>
      <c r="D401" s="13" t="n">
        <v>91.8</v>
      </c>
    </row>
    <row r="402">
      <c r="A402" t="inlineStr">
        <is>
          <t xml:space="preserve">   Dahi</t>
        </is>
      </c>
      <c r="B402" t="n">
        <v>1.7</v>
      </c>
      <c r="C402" t="inlineStr">
        <is>
          <t>kg</t>
        </is>
      </c>
      <c r="D402" s="13" t="n">
        <v>105.4</v>
      </c>
    </row>
    <row r="403">
      <c r="A403" t="inlineStr">
        <is>
          <t xml:space="preserve">   Lal Mirch</t>
        </is>
      </c>
      <c r="B403" t="n">
        <v>8</v>
      </c>
      <c r="C403" t="inlineStr">
        <is>
          <t>g</t>
        </is>
      </c>
      <c r="D403" s="13" t="n">
        <v>3.52</v>
      </c>
    </row>
    <row r="404">
      <c r="A404" t="inlineStr">
        <is>
          <t xml:space="preserve">   Haldi</t>
        </is>
      </c>
      <c r="B404" t="n">
        <v>2</v>
      </c>
      <c r="C404" t="inlineStr">
        <is>
          <t>g</t>
        </is>
      </c>
      <c r="D404" s="13" t="n">
        <v>0.88</v>
      </c>
    </row>
    <row r="405">
      <c r="A405" t="inlineStr">
        <is>
          <t xml:space="preserve">   Aloo</t>
        </is>
      </c>
      <c r="B405" t="n">
        <v>1.5</v>
      </c>
      <c r="C405" t="inlineStr">
        <is>
          <t>kg</t>
        </is>
      </c>
      <c r="D405" s="13" t="n">
        <v>45</v>
      </c>
    </row>
    <row r="406">
      <c r="A406" s="23" t="inlineStr">
        <is>
          <t>Aloo Pyaz Paratha</t>
        </is>
      </c>
      <c r="B406" s="28" t="inlineStr">
        <is>
          <t>batch 268</t>
        </is>
      </c>
      <c r="C406" s="24" t="n"/>
      <c r="D406" s="24" t="n"/>
      <c r="E406" s="25" t="n">
        <v>16.77</v>
      </c>
      <c r="F406" s="14" t="n">
        <v>99</v>
      </c>
      <c r="G406" s="26">
        <f>IF(F406=0,"",E406/F406)</f>
        <v/>
      </c>
      <c r="H406" s="27">
        <f>IF(F406=0,"",F406-E406)</f>
        <v/>
      </c>
      <c r="I406" s="24" t="inlineStr">
        <is>
          <t>plate</t>
        </is>
      </c>
    </row>
    <row r="407">
      <c r="A407" t="inlineStr">
        <is>
          <t xml:space="preserve">   Atta</t>
        </is>
      </c>
      <c r="B407" t="n">
        <v>1</v>
      </c>
      <c r="C407" t="inlineStr">
        <is>
          <t>kg</t>
        </is>
      </c>
      <c r="D407" s="13" t="n">
        <v>40</v>
      </c>
    </row>
    <row r="408">
      <c r="A408" t="inlineStr">
        <is>
          <t xml:space="preserve">   Safed Namak</t>
        </is>
      </c>
      <c r="B408" t="n">
        <v>40</v>
      </c>
      <c r="C408" t="inlineStr">
        <is>
          <t>g</t>
        </is>
      </c>
      <c r="D408" s="13" t="n">
        <v>1.2</v>
      </c>
    </row>
    <row r="409">
      <c r="A409" t="inlineStr">
        <is>
          <t xml:space="preserve">   Pyaz</t>
        </is>
      </c>
      <c r="B409" t="n">
        <v>400</v>
      </c>
      <c r="C409" t="inlineStr">
        <is>
          <t>g</t>
        </is>
      </c>
      <c r="D409" s="13" t="n">
        <v>7.2</v>
      </c>
    </row>
    <row r="410">
      <c r="A410" t="inlineStr">
        <is>
          <t xml:space="preserve">   Butter</t>
        </is>
      </c>
      <c r="B410" t="n">
        <v>160</v>
      </c>
      <c r="C410" t="inlineStr">
        <is>
          <t>g</t>
        </is>
      </c>
      <c r="D410" s="13" t="n">
        <v>86.40000000000001</v>
      </c>
    </row>
    <row r="411">
      <c r="A411" t="inlineStr">
        <is>
          <t xml:space="preserve">   Dahi</t>
        </is>
      </c>
      <c r="B411" t="n">
        <v>1.6</v>
      </c>
      <c r="C411" t="inlineStr">
        <is>
          <t>kg</t>
        </is>
      </c>
      <c r="D411" s="13" t="n">
        <v>99.2</v>
      </c>
    </row>
    <row r="412">
      <c r="A412" t="inlineStr">
        <is>
          <t xml:space="preserve">   Lal Mirch</t>
        </is>
      </c>
      <c r="B412" t="n">
        <v>8</v>
      </c>
      <c r="C412" t="inlineStr">
        <is>
          <t>g</t>
        </is>
      </c>
      <c r="D412" s="13" t="n">
        <v>3.52</v>
      </c>
    </row>
    <row r="413">
      <c r="A413" t="inlineStr">
        <is>
          <t xml:space="preserve">   Haldi</t>
        </is>
      </c>
      <c r="B413" t="n">
        <v>2</v>
      </c>
      <c r="C413" t="inlineStr">
        <is>
          <t>g</t>
        </is>
      </c>
      <c r="D413" s="13" t="n">
        <v>0.88</v>
      </c>
    </row>
    <row r="414">
      <c r="A414" t="inlineStr">
        <is>
          <t xml:space="preserve">   Aloo</t>
        </is>
      </c>
      <c r="B414" t="n">
        <v>1</v>
      </c>
      <c r="C414" t="inlineStr">
        <is>
          <t>kg</t>
        </is>
      </c>
      <c r="D414" s="13" t="n">
        <v>30</v>
      </c>
    </row>
    <row r="415">
      <c r="A415" s="23" t="inlineStr">
        <is>
          <t>Gobhi Paratha</t>
        </is>
      </c>
      <c r="B415" s="28" t="inlineStr">
        <is>
          <t>batch 138</t>
        </is>
      </c>
      <c r="C415" s="24" t="n"/>
      <c r="D415" s="24" t="n"/>
      <c r="E415" s="25" t="n">
        <v>17.2</v>
      </c>
      <c r="F415" s="14" t="n">
        <v>99</v>
      </c>
      <c r="G415" s="26">
        <f>IF(F415=0,"",E415/F415)</f>
        <v/>
      </c>
      <c r="H415" s="27">
        <f>IF(F415=0,"",F415-E415)</f>
        <v/>
      </c>
      <c r="I415" s="24" t="inlineStr">
        <is>
          <t>plate</t>
        </is>
      </c>
    </row>
    <row r="416">
      <c r="A416" t="inlineStr">
        <is>
          <t xml:space="preserve">   Atta</t>
        </is>
      </c>
      <c r="B416" t="n">
        <v>500</v>
      </c>
      <c r="C416" t="inlineStr">
        <is>
          <t>g</t>
        </is>
      </c>
      <c r="D416" s="13" t="n">
        <v>20</v>
      </c>
    </row>
    <row r="417">
      <c r="A417" t="inlineStr">
        <is>
          <t xml:space="preserve">   Safed Namak</t>
        </is>
      </c>
      <c r="B417" t="n">
        <v>25</v>
      </c>
      <c r="C417" t="inlineStr">
        <is>
          <t>g</t>
        </is>
      </c>
      <c r="D417" s="13" t="n">
        <v>0.75</v>
      </c>
    </row>
    <row r="418">
      <c r="A418" t="inlineStr">
        <is>
          <t xml:space="preserve">   Pyaz</t>
        </is>
      </c>
      <c r="B418" t="n">
        <v>80</v>
      </c>
      <c r="C418" t="inlineStr">
        <is>
          <t>g</t>
        </is>
      </c>
      <c r="D418" s="13" t="n">
        <v>1.44</v>
      </c>
    </row>
    <row r="419">
      <c r="A419" t="inlineStr">
        <is>
          <t xml:space="preserve">   Butter</t>
        </is>
      </c>
      <c r="B419" t="n">
        <v>80</v>
      </c>
      <c r="C419" t="inlineStr">
        <is>
          <t>g</t>
        </is>
      </c>
      <c r="D419" s="13" t="n">
        <v>43.2</v>
      </c>
    </row>
    <row r="420">
      <c r="A420" t="inlineStr">
        <is>
          <t xml:space="preserve">   Dahi</t>
        </is>
      </c>
      <c r="B420" t="n">
        <v>800</v>
      </c>
      <c r="C420" t="inlineStr">
        <is>
          <t>g</t>
        </is>
      </c>
      <c r="D420" s="13" t="n">
        <v>49.6</v>
      </c>
    </row>
    <row r="421">
      <c r="A421" t="inlineStr">
        <is>
          <t xml:space="preserve">   Lal Mirch</t>
        </is>
      </c>
      <c r="B421" t="n">
        <v>5</v>
      </c>
      <c r="C421" t="inlineStr">
        <is>
          <t>g</t>
        </is>
      </c>
      <c r="D421" s="13" t="n">
        <v>2.2</v>
      </c>
    </row>
    <row r="422">
      <c r="A422" t="inlineStr">
        <is>
          <t xml:space="preserve">   Haldi</t>
        </is>
      </c>
      <c r="B422" t="n">
        <v>1</v>
      </c>
      <c r="C422" t="inlineStr">
        <is>
          <t>g</t>
        </is>
      </c>
      <c r="D422" s="13" t="n">
        <v>0.44</v>
      </c>
    </row>
    <row r="423">
      <c r="A423" t="inlineStr">
        <is>
          <t xml:space="preserve">   Aloo</t>
        </is>
      </c>
      <c r="B423" t="n">
        <v>250</v>
      </c>
      <c r="C423" t="inlineStr">
        <is>
          <t>g</t>
        </is>
      </c>
      <c r="D423" s="13" t="n">
        <v>7.5</v>
      </c>
    </row>
    <row r="424">
      <c r="A424" t="inlineStr">
        <is>
          <t xml:space="preserve">   Gobhi</t>
        </is>
      </c>
      <c r="B424" t="n">
        <v>250</v>
      </c>
      <c r="C424" t="inlineStr">
        <is>
          <t>g</t>
        </is>
      </c>
      <c r="D424" s="13" t="n">
        <v>12.5</v>
      </c>
    </row>
    <row r="425">
      <c r="A425" s="23" t="inlineStr">
        <is>
          <t>Methi Paratha</t>
        </is>
      </c>
      <c r="B425" s="28" t="inlineStr">
        <is>
          <t>batch 246</t>
        </is>
      </c>
      <c r="C425" s="24" t="n"/>
      <c r="D425" s="24" t="n"/>
      <c r="E425" s="25" t="n">
        <v>16.41</v>
      </c>
      <c r="F425" s="14" t="n">
        <v>99</v>
      </c>
      <c r="G425" s="26">
        <f>IF(F425=0,"",E425/F425)</f>
        <v/>
      </c>
      <c r="H425" s="27">
        <f>IF(F425=0,"",F425-E425)</f>
        <v/>
      </c>
      <c r="I425" s="24" t="inlineStr">
        <is>
          <t>plate</t>
        </is>
      </c>
    </row>
    <row r="426">
      <c r="A426" t="inlineStr">
        <is>
          <t xml:space="preserve">   Atta</t>
        </is>
      </c>
      <c r="B426" t="n">
        <v>1</v>
      </c>
      <c r="C426" t="inlineStr">
        <is>
          <t>kg</t>
        </is>
      </c>
      <c r="D426" s="13" t="n">
        <v>40</v>
      </c>
    </row>
    <row r="427">
      <c r="A427" t="inlineStr">
        <is>
          <t xml:space="preserve">   Safed Namak</t>
        </is>
      </c>
      <c r="B427" t="n">
        <v>15</v>
      </c>
      <c r="C427" t="inlineStr">
        <is>
          <t>g</t>
        </is>
      </c>
      <c r="D427" s="13" t="n">
        <v>0.45</v>
      </c>
    </row>
    <row r="428">
      <c r="A428" t="inlineStr">
        <is>
          <t xml:space="preserve">   Pyaz</t>
        </is>
      </c>
      <c r="B428" t="n">
        <v>150</v>
      </c>
      <c r="C428" t="inlineStr">
        <is>
          <t>g</t>
        </is>
      </c>
      <c r="D428" s="13" t="n">
        <v>2.7</v>
      </c>
    </row>
    <row r="429">
      <c r="A429" t="inlineStr">
        <is>
          <t xml:space="preserve">   Butter</t>
        </is>
      </c>
      <c r="B429" t="n">
        <v>160</v>
      </c>
      <c r="C429" t="inlineStr">
        <is>
          <t>g</t>
        </is>
      </c>
      <c r="D429" s="13" t="n">
        <v>86.40000000000001</v>
      </c>
    </row>
    <row r="430">
      <c r="A430" t="inlineStr">
        <is>
          <t xml:space="preserve">   Dahi</t>
        </is>
      </c>
      <c r="B430" t="n">
        <v>1.5</v>
      </c>
      <c r="C430" t="inlineStr">
        <is>
          <t>kg</t>
        </is>
      </c>
      <c r="D430" s="13" t="n">
        <v>93</v>
      </c>
    </row>
    <row r="431">
      <c r="A431" t="inlineStr">
        <is>
          <t xml:space="preserve">   Haldi</t>
        </is>
      </c>
      <c r="B431" t="n">
        <v>3</v>
      </c>
      <c r="C431" t="inlineStr">
        <is>
          <t>g</t>
        </is>
      </c>
      <c r="D431" s="13" t="n">
        <v>1.32</v>
      </c>
    </row>
    <row r="432">
      <c r="A432" t="inlineStr">
        <is>
          <t xml:space="preserve">   Aloo</t>
        </is>
      </c>
      <c r="B432" t="n">
        <v>250</v>
      </c>
      <c r="C432" t="inlineStr">
        <is>
          <t>g</t>
        </is>
      </c>
      <c r="D432" s="13" t="n">
        <v>7.5</v>
      </c>
    </row>
    <row r="433">
      <c r="A433" t="inlineStr">
        <is>
          <t xml:space="preserve">   Gobhi</t>
        </is>
      </c>
      <c r="B433" t="n">
        <v>250</v>
      </c>
      <c r="C433" t="inlineStr">
        <is>
          <t>g</t>
        </is>
      </c>
      <c r="D433" s="13" t="n">
        <v>12.5</v>
      </c>
    </row>
    <row r="434">
      <c r="A434" t="inlineStr">
        <is>
          <t xml:space="preserve">   Kasuri Methi</t>
        </is>
      </c>
      <c r="B434" t="n">
        <v>8</v>
      </c>
      <c r="C434" t="inlineStr">
        <is>
          <t>g</t>
        </is>
      </c>
      <c r="D434" s="13" t="n">
        <v>2.24</v>
      </c>
    </row>
    <row r="435">
      <c r="A435" s="23" t="inlineStr">
        <is>
          <t>Mix Paratha</t>
        </is>
      </c>
      <c r="B435" s="28" t="inlineStr">
        <is>
          <t>batch 146</t>
        </is>
      </c>
      <c r="C435" s="24" t="n"/>
      <c r="D435" s="24" t="n"/>
      <c r="E435" s="25" t="n">
        <v>18.31</v>
      </c>
      <c r="F435" s="14" t="n">
        <v>99</v>
      </c>
      <c r="G435" s="26">
        <f>IF(F435=0,"",E435/F435)</f>
        <v/>
      </c>
      <c r="H435" s="27">
        <f>IF(F435=0,"",F435-E435)</f>
        <v/>
      </c>
      <c r="I435" s="24" t="inlineStr">
        <is>
          <t>plate</t>
        </is>
      </c>
    </row>
    <row r="436">
      <c r="A436" t="inlineStr">
        <is>
          <t xml:space="preserve">   Atta</t>
        </is>
      </c>
      <c r="B436" t="n">
        <v>500</v>
      </c>
      <c r="C436" t="inlineStr">
        <is>
          <t>g</t>
        </is>
      </c>
      <c r="D436" s="13" t="n">
        <v>20</v>
      </c>
    </row>
    <row r="437">
      <c r="A437" t="inlineStr">
        <is>
          <t xml:space="preserve">   Butter</t>
        </is>
      </c>
      <c r="B437" t="n">
        <v>80</v>
      </c>
      <c r="C437" t="inlineStr">
        <is>
          <t>g</t>
        </is>
      </c>
      <c r="D437" s="13" t="n">
        <v>43.2</v>
      </c>
    </row>
    <row r="438">
      <c r="A438" t="inlineStr">
        <is>
          <t xml:space="preserve">   Gobhi</t>
        </is>
      </c>
      <c r="B438" t="n">
        <v>100</v>
      </c>
      <c r="C438" t="inlineStr">
        <is>
          <t>g</t>
        </is>
      </c>
      <c r="D438" s="13" t="n">
        <v>5</v>
      </c>
    </row>
    <row r="439">
      <c r="A439" t="inlineStr">
        <is>
          <t xml:space="preserve">   Aloo</t>
        </is>
      </c>
      <c r="B439" t="n">
        <v>400</v>
      </c>
      <c r="C439" t="inlineStr">
        <is>
          <t>g</t>
        </is>
      </c>
      <c r="D439" s="13" t="n">
        <v>12</v>
      </c>
    </row>
    <row r="440">
      <c r="A440" t="inlineStr">
        <is>
          <t xml:space="preserve">   Shimla Mirch</t>
        </is>
      </c>
      <c r="B440" t="n">
        <v>80</v>
      </c>
      <c r="C440" t="inlineStr">
        <is>
          <t>g</t>
        </is>
      </c>
      <c r="D440" s="13" t="n">
        <v>4.8</v>
      </c>
    </row>
    <row r="441">
      <c r="A441" t="inlineStr">
        <is>
          <t xml:space="preserve">   Lal Mirch</t>
        </is>
      </c>
      <c r="B441" t="n">
        <v>16</v>
      </c>
      <c r="C441" t="inlineStr">
        <is>
          <t>g</t>
        </is>
      </c>
      <c r="D441" s="13" t="n">
        <v>7.04</v>
      </c>
    </row>
    <row r="442">
      <c r="A442" t="inlineStr">
        <is>
          <t xml:space="preserve">   Safed Namak</t>
        </is>
      </c>
      <c r="B442" t="n">
        <v>25</v>
      </c>
      <c r="C442" t="inlineStr">
        <is>
          <t>g</t>
        </is>
      </c>
      <c r="D442" s="13" t="n">
        <v>0.75</v>
      </c>
    </row>
    <row r="443">
      <c r="A443" t="inlineStr">
        <is>
          <t xml:space="preserve">   Haldi</t>
        </is>
      </c>
      <c r="B443" t="n">
        <v>6</v>
      </c>
      <c r="C443" t="inlineStr">
        <is>
          <t>g</t>
        </is>
      </c>
      <c r="D443" s="13" t="n">
        <v>2.64</v>
      </c>
    </row>
    <row r="444">
      <c r="A444" t="inlineStr">
        <is>
          <t xml:space="preserve">   Pyaz</t>
        </is>
      </c>
      <c r="B444" t="n">
        <v>80</v>
      </c>
      <c r="C444" t="inlineStr">
        <is>
          <t>g</t>
        </is>
      </c>
      <c r="D444" s="13" t="n">
        <v>1.44</v>
      </c>
    </row>
    <row r="445">
      <c r="A445" t="inlineStr">
        <is>
          <t xml:space="preserve">   Dahi</t>
        </is>
      </c>
      <c r="B445" t="n">
        <v>800</v>
      </c>
      <c r="C445" t="inlineStr">
        <is>
          <t>g</t>
        </is>
      </c>
      <c r="D445" s="13" t="n">
        <v>49.6</v>
      </c>
    </row>
    <row r="446">
      <c r="A446" s="23" t="inlineStr">
        <is>
          <t>Paneer Paratha</t>
        </is>
      </c>
      <c r="B446" s="28" t="inlineStr">
        <is>
          <t>batch 230</t>
        </is>
      </c>
      <c r="C446" s="24" t="n"/>
      <c r="D446" s="24" t="n"/>
      <c r="E446" s="25" t="n">
        <v>28.8</v>
      </c>
      <c r="F446" s="14" t="n">
        <v>129</v>
      </c>
      <c r="G446" s="26">
        <f>IF(F446=0,"",E446/F446)</f>
        <v/>
      </c>
      <c r="H446" s="27">
        <f>IF(F446=0,"",F446-E446)</f>
        <v/>
      </c>
      <c r="I446" s="24" t="inlineStr">
        <is>
          <t>plate</t>
        </is>
      </c>
    </row>
    <row r="447">
      <c r="A447" t="inlineStr">
        <is>
          <t xml:space="preserve">   Atta</t>
        </is>
      </c>
      <c r="B447" t="n">
        <v>500</v>
      </c>
      <c r="C447" t="inlineStr">
        <is>
          <t>g</t>
        </is>
      </c>
      <c r="D447" s="13" t="n">
        <v>20</v>
      </c>
    </row>
    <row r="448">
      <c r="A448" t="inlineStr">
        <is>
          <t xml:space="preserve">   Safed Namak</t>
        </is>
      </c>
      <c r="B448" t="n">
        <v>25</v>
      </c>
      <c r="C448" t="inlineStr">
        <is>
          <t>g</t>
        </is>
      </c>
      <c r="D448" s="13" t="n">
        <v>0.75</v>
      </c>
    </row>
    <row r="449">
      <c r="A449" t="inlineStr">
        <is>
          <t xml:space="preserve">   Lal Mirch</t>
        </is>
      </c>
      <c r="B449" t="n">
        <v>8</v>
      </c>
      <c r="C449" t="inlineStr">
        <is>
          <t>g</t>
        </is>
      </c>
      <c r="D449" s="13" t="n">
        <v>3.52</v>
      </c>
    </row>
    <row r="450">
      <c r="A450" t="inlineStr">
        <is>
          <t xml:space="preserve">   Haldi</t>
        </is>
      </c>
      <c r="B450" t="n">
        <v>2</v>
      </c>
      <c r="C450" t="inlineStr">
        <is>
          <t>g</t>
        </is>
      </c>
      <c r="D450" s="13" t="n">
        <v>0.88</v>
      </c>
    </row>
    <row r="451">
      <c r="A451" t="inlineStr">
        <is>
          <t xml:space="preserve">   Hara Mircha</t>
        </is>
      </c>
      <c r="B451" t="n">
        <v>6</v>
      </c>
      <c r="C451" t="inlineStr">
        <is>
          <t>g</t>
        </is>
      </c>
      <c r="D451" s="13" t="n">
        <v>0.42</v>
      </c>
    </row>
    <row r="452">
      <c r="A452" t="inlineStr">
        <is>
          <t xml:space="preserve">   Butter</t>
        </is>
      </c>
      <c r="B452" t="n">
        <v>80</v>
      </c>
      <c r="C452" t="inlineStr">
        <is>
          <t>g</t>
        </is>
      </c>
      <c r="D452" s="13" t="n">
        <v>43.2</v>
      </c>
    </row>
    <row r="453">
      <c r="A453" t="inlineStr">
        <is>
          <t xml:space="preserve">   Paneer</t>
        </is>
      </c>
      <c r="B453" t="n">
        <v>400</v>
      </c>
      <c r="C453" t="inlineStr">
        <is>
          <t>g</t>
        </is>
      </c>
      <c r="D453" s="13" t="n">
        <v>112</v>
      </c>
    </row>
    <row r="454">
      <c r="A454" t="inlineStr">
        <is>
          <t xml:space="preserve">   Dahi</t>
        </is>
      </c>
      <c r="B454" t="n">
        <v>800</v>
      </c>
      <c r="C454" t="inlineStr">
        <is>
          <t>g</t>
        </is>
      </c>
      <c r="D454" s="13" t="n">
        <v>49.6</v>
      </c>
    </row>
    <row r="455">
      <c r="A455" s="21" t="inlineStr">
        <is>
          <t>CHOLE WALA</t>
        </is>
      </c>
      <c r="B455" s="22" t="n"/>
      <c r="C455" s="22" t="n"/>
      <c r="D455" s="22" t="n"/>
      <c r="E455" s="22" t="n"/>
      <c r="F455" s="22" t="n"/>
      <c r="G455" s="22" t="n"/>
      <c r="H455" s="22" t="n"/>
      <c r="I455" s="22" t="n"/>
    </row>
    <row r="456">
      <c r="A456" s="23" t="inlineStr">
        <is>
          <t>Masala Poori with Sabji</t>
        </is>
      </c>
      <c r="B456" s="24" t="n"/>
      <c r="C456" s="24" t="n"/>
      <c r="D456" s="24" t="n"/>
      <c r="E456" s="25" t="n">
        <v>11.05</v>
      </c>
      <c r="F456" s="14" t="n">
        <v>110</v>
      </c>
      <c r="G456" s="26">
        <f>IF(F456=0,"",E456/F456)</f>
        <v/>
      </c>
      <c r="H456" s="27">
        <f>IF(F456=0,"",F456-E456)</f>
        <v/>
      </c>
      <c r="I456" s="24" t="inlineStr">
        <is>
          <t>plate</t>
        </is>
      </c>
    </row>
    <row r="457">
      <c r="A457" t="inlineStr">
        <is>
          <t xml:space="preserve">   Masala Puri (pc)</t>
        </is>
      </c>
      <c r="B457" t="n">
        <v>4</v>
      </c>
      <c r="C457" t="inlineStr">
        <is>
          <t>pc</t>
        </is>
      </c>
      <c r="D457" s="13" t="n">
        <v>4.21</v>
      </c>
    </row>
    <row r="458">
      <c r="A458" t="inlineStr">
        <is>
          <t xml:space="preserve">   Masala Puri Sabji</t>
        </is>
      </c>
      <c r="B458" t="n">
        <v>1</v>
      </c>
      <c r="C458" t="inlineStr">
        <is>
          <t>plate</t>
        </is>
      </c>
      <c r="D458" s="13" t="n">
        <v>6.84</v>
      </c>
    </row>
    <row r="459">
      <c r="A459" s="23" t="inlineStr">
        <is>
          <t>Chole Kulche</t>
        </is>
      </c>
      <c r="B459" s="24" t="n"/>
      <c r="C459" s="24" t="n"/>
      <c r="D459" s="24" t="n"/>
      <c r="E459" s="25" t="n">
        <v>48.45</v>
      </c>
      <c r="F459" s="14" t="n">
        <v>150</v>
      </c>
      <c r="G459" s="26">
        <f>IF(F459=0,"",E459/F459)</f>
        <v/>
      </c>
      <c r="H459" s="27">
        <f>IF(F459=0,"",F459-E459)</f>
        <v/>
      </c>
      <c r="I459" s="24" t="inlineStr">
        <is>
          <t>plate</t>
        </is>
      </c>
    </row>
    <row r="460">
      <c r="A460" t="inlineStr">
        <is>
          <t xml:space="preserve">   Kulcha</t>
        </is>
      </c>
      <c r="B460" t="n">
        <v>2</v>
      </c>
      <c r="C460" t="inlineStr">
        <is>
          <t>pc</t>
        </is>
      </c>
      <c r="D460" s="13" t="n">
        <v>20</v>
      </c>
    </row>
    <row r="461">
      <c r="A461" t="inlineStr">
        <is>
          <t xml:space="preserve">   Chole (Kale)</t>
        </is>
      </c>
      <c r="B461" t="n">
        <v>300</v>
      </c>
      <c r="C461" t="inlineStr">
        <is>
          <t>g</t>
        </is>
      </c>
      <c r="D461" s="13" t="n">
        <v>27.35</v>
      </c>
    </row>
    <row r="462">
      <c r="A462" t="inlineStr">
        <is>
          <t xml:space="preserve">   Pyaz</t>
        </is>
      </c>
      <c r="B462" t="n">
        <v>30</v>
      </c>
      <c r="C462" t="inlineStr">
        <is>
          <t>g</t>
        </is>
      </c>
      <c r="D462" s="13" t="n">
        <v>0.54</v>
      </c>
    </row>
    <row r="463">
      <c r="A463" t="inlineStr">
        <is>
          <t xml:space="preserve">   Achar</t>
        </is>
      </c>
      <c r="B463" t="n">
        <v>10</v>
      </c>
      <c r="C463" t="inlineStr">
        <is>
          <t>g</t>
        </is>
      </c>
      <c r="D463" s="13" t="n">
        <v>0.5600000000000001</v>
      </c>
    </row>
    <row r="464">
      <c r="A464" s="21" t="inlineStr">
        <is>
          <t>LASSI</t>
        </is>
      </c>
      <c r="B464" s="22" t="n"/>
      <c r="C464" s="22" t="n"/>
      <c r="D464" s="22" t="n"/>
      <c r="E464" s="22" t="n"/>
      <c r="F464" s="22" t="n"/>
      <c r="G464" s="22" t="n"/>
      <c r="H464" s="22" t="n"/>
      <c r="I464" s="22" t="n"/>
    </row>
    <row r="465">
      <c r="A465" s="23" t="inlineStr">
        <is>
          <t>Lassi (Large 500ml)</t>
        </is>
      </c>
      <c r="B465" s="28" t="inlineStr">
        <is>
          <t>batch 71</t>
        </is>
      </c>
      <c r="C465" s="24" t="n"/>
      <c r="D465" s="24" t="n"/>
      <c r="E465" s="25" t="n">
        <v>35.74</v>
      </c>
      <c r="F465" s="14" t="n">
        <v>120</v>
      </c>
      <c r="G465" s="26">
        <f>IF(F465=0,"",E465/F465)</f>
        <v/>
      </c>
      <c r="H465" s="27">
        <f>IF(F465=0,"",F465-E465)</f>
        <v/>
      </c>
      <c r="I465" s="24" t="inlineStr">
        <is>
          <t>500ml glass</t>
        </is>
      </c>
    </row>
    <row r="466">
      <c r="A466" t="inlineStr">
        <is>
          <t xml:space="preserve">   Dahi</t>
        </is>
      </c>
      <c r="B466" t="n">
        <v>1</v>
      </c>
      <c r="C466" t="inlineStr">
        <is>
          <t>kg</t>
        </is>
      </c>
      <c r="D466" s="13" t="n">
        <v>62</v>
      </c>
    </row>
    <row r="467">
      <c r="A467" t="inlineStr">
        <is>
          <t xml:space="preserve">   Shakkar</t>
        </is>
      </c>
      <c r="B467" t="n">
        <v>200</v>
      </c>
      <c r="C467" t="inlineStr">
        <is>
          <t>g</t>
        </is>
      </c>
      <c r="D467" s="13" t="n">
        <v>8.52</v>
      </c>
    </row>
    <row r="468">
      <c r="A468" t="inlineStr">
        <is>
          <t xml:space="preserve">   Gulaab Jal</t>
        </is>
      </c>
      <c r="B468" t="n">
        <v>12</v>
      </c>
      <c r="C468" t="inlineStr">
        <is>
          <t>g</t>
        </is>
      </c>
      <c r="D468" s="13" t="n">
        <v>0.96</v>
      </c>
    </row>
    <row r="469">
      <c r="A469" s="23" t="inlineStr">
        <is>
          <t>Masala Chaas (250ml)</t>
        </is>
      </c>
      <c r="B469" s="28" t="inlineStr">
        <is>
          <t>batch 67</t>
        </is>
      </c>
      <c r="C469" s="24" t="n"/>
      <c r="D469" s="24" t="n"/>
      <c r="E469" s="25" t="n">
        <v>8</v>
      </c>
      <c r="F469" s="14" t="n">
        <v>45</v>
      </c>
      <c r="G469" s="26">
        <f>IF(F469=0,"",E469/F469)</f>
        <v/>
      </c>
      <c r="H469" s="27">
        <f>IF(F469=0,"",F469-E469)</f>
        <v/>
      </c>
      <c r="I469" s="24" t="inlineStr">
        <is>
          <t>250ml glass</t>
        </is>
      </c>
    </row>
    <row r="470">
      <c r="A470" t="inlineStr">
        <is>
          <t xml:space="preserve">   Dahi</t>
        </is>
      </c>
      <c r="B470" t="n">
        <v>1</v>
      </c>
      <c r="C470" t="inlineStr">
        <is>
          <t>kg</t>
        </is>
      </c>
      <c r="D470" s="13" t="n">
        <v>62</v>
      </c>
    </row>
    <row r="471">
      <c r="A471" t="inlineStr">
        <is>
          <t xml:space="preserve">   Paani</t>
        </is>
      </c>
      <c r="B471" t="n">
        <v>1</v>
      </c>
      <c r="C471" t="inlineStr">
        <is>
          <t>kg</t>
        </is>
      </c>
      <c r="D471" s="13" t="n">
        <v>0</v>
      </c>
    </row>
    <row r="472">
      <c r="A472" t="inlineStr">
        <is>
          <t xml:space="preserve">   Kali Mirch</t>
        </is>
      </c>
      <c r="B472" t="n">
        <v>2</v>
      </c>
      <c r="C472" t="inlineStr">
        <is>
          <t>g</t>
        </is>
      </c>
      <c r="D472" s="13" t="n">
        <v>1.96</v>
      </c>
    </row>
    <row r="473">
      <c r="A473" t="inlineStr">
        <is>
          <t xml:space="preserve">   Jeera</t>
        </is>
      </c>
      <c r="B473" t="n">
        <v>4</v>
      </c>
      <c r="C473" t="inlineStr">
        <is>
          <t>g</t>
        </is>
      </c>
      <c r="D473" s="13" t="n">
        <v>1.52</v>
      </c>
    </row>
    <row r="474">
      <c r="A474" t="inlineStr">
        <is>
          <t xml:space="preserve">   Hing ka Paani</t>
        </is>
      </c>
      <c r="B474" t="n">
        <v>2</v>
      </c>
      <c r="C474" t="inlineStr">
        <is>
          <t>g</t>
        </is>
      </c>
      <c r="D474" s="13" t="n">
        <v>0.72</v>
      </c>
    </row>
    <row r="475">
      <c r="A475" t="inlineStr">
        <is>
          <t xml:space="preserve">   Kala Namak</t>
        </is>
      </c>
      <c r="B475" t="n">
        <v>20</v>
      </c>
      <c r="C475" t="inlineStr">
        <is>
          <t>g</t>
        </is>
      </c>
      <c r="D475" s="13" t="n">
        <v>1</v>
      </c>
    </row>
    <row r="476">
      <c r="A476" s="21" t="inlineStr">
        <is>
          <t>RICE</t>
        </is>
      </c>
      <c r="B476" s="22" t="n"/>
      <c r="C476" s="22" t="n"/>
      <c r="D476" s="22" t="n"/>
      <c r="E476" s="22" t="n"/>
      <c r="F476" s="22" t="n"/>
      <c r="G476" s="22" t="n"/>
      <c r="H476" s="22" t="n"/>
      <c r="I476" s="22" t="n"/>
    </row>
    <row r="477">
      <c r="A477" s="23" t="inlineStr">
        <is>
          <t>Dal Tadka Chawal</t>
        </is>
      </c>
      <c r="B477" s="24" t="n"/>
      <c r="C477" s="24" t="n"/>
      <c r="D477" s="24" t="n"/>
      <c r="E477" s="25" t="n">
        <v>41.19</v>
      </c>
      <c r="F477" s="14" t="n">
        <v>149</v>
      </c>
      <c r="G477" s="26">
        <f>IF(F477=0,"",E477/F477)</f>
        <v/>
      </c>
      <c r="H477" s="27">
        <f>IF(F477=0,"",F477-E477)</f>
        <v/>
      </c>
      <c r="I477" s="24" t="inlineStr">
        <is>
          <t>plate</t>
        </is>
      </c>
    </row>
    <row r="478">
      <c r="A478" t="inlineStr">
        <is>
          <t xml:space="preserve">   Dal Fry</t>
        </is>
      </c>
      <c r="B478" t="n">
        <v>1</v>
      </c>
      <c r="C478" t="inlineStr">
        <is>
          <t>plate</t>
        </is>
      </c>
      <c r="D478" s="13" t="n">
        <v>18.23</v>
      </c>
    </row>
    <row r="479">
      <c r="A479" t="inlineStr">
        <is>
          <t xml:space="preserve">   Lal Mirch</t>
        </is>
      </c>
      <c r="B479" t="n">
        <v>2</v>
      </c>
      <c r="C479" t="inlineStr">
        <is>
          <t>g</t>
        </is>
      </c>
      <c r="D479" s="13" t="n">
        <v>0.88</v>
      </c>
    </row>
    <row r="480">
      <c r="A480" t="inlineStr">
        <is>
          <t xml:space="preserve">   Butter</t>
        </is>
      </c>
      <c r="B480" t="n">
        <v>10</v>
      </c>
      <c r="C480" t="inlineStr">
        <is>
          <t>g</t>
        </is>
      </c>
      <c r="D480" s="13" t="n">
        <v>5.4</v>
      </c>
    </row>
    <row r="481">
      <c r="A481" t="inlineStr">
        <is>
          <t xml:space="preserve">   Jeera</t>
        </is>
      </c>
      <c r="B481" t="n">
        <v>2</v>
      </c>
      <c r="C481" t="inlineStr">
        <is>
          <t>g</t>
        </is>
      </c>
      <c r="D481" s="13" t="n">
        <v>0.76</v>
      </c>
    </row>
    <row r="482">
      <c r="A482" t="inlineStr">
        <is>
          <t xml:space="preserve">   Chawal</t>
        </is>
      </c>
      <c r="B482" t="n">
        <v>200</v>
      </c>
      <c r="C482" t="inlineStr">
        <is>
          <t>g</t>
        </is>
      </c>
      <c r="D482" s="13" t="n">
        <v>15</v>
      </c>
    </row>
    <row r="483">
      <c r="A483" t="inlineStr">
        <is>
          <t xml:space="preserve">   Pyaz</t>
        </is>
      </c>
      <c r="B483" t="n">
        <v>20</v>
      </c>
      <c r="C483" t="inlineStr">
        <is>
          <t>g</t>
        </is>
      </c>
      <c r="D483" s="13" t="n">
        <v>0.36</v>
      </c>
    </row>
    <row r="484">
      <c r="A484" t="inlineStr">
        <is>
          <t xml:space="preserve">   Achar</t>
        </is>
      </c>
      <c r="B484" t="n">
        <v>10</v>
      </c>
      <c r="C484" t="inlineStr">
        <is>
          <t>g</t>
        </is>
      </c>
      <c r="D484" s="13" t="n">
        <v>0.5600000000000001</v>
      </c>
    </row>
    <row r="485">
      <c r="A485" s="23" t="inlineStr">
        <is>
          <t>Dal Khichdi Tadka</t>
        </is>
      </c>
      <c r="B485" s="24" t="n"/>
      <c r="C485" s="24" t="n"/>
      <c r="D485" s="24" t="n"/>
      <c r="E485" s="25" t="n">
        <v>46.39</v>
      </c>
      <c r="F485" s="14" t="n">
        <v>149</v>
      </c>
      <c r="G485" s="26">
        <f>IF(F485=0,"",E485/F485)</f>
        <v/>
      </c>
      <c r="H485" s="27">
        <f>IF(F485=0,"",F485-E485)</f>
        <v/>
      </c>
      <c r="I485" s="24" t="inlineStr">
        <is>
          <t>plate</t>
        </is>
      </c>
    </row>
    <row r="486">
      <c r="A486" t="inlineStr">
        <is>
          <t xml:space="preserve">   Chawal</t>
        </is>
      </c>
      <c r="B486" t="n">
        <v>150</v>
      </c>
      <c r="C486" t="inlineStr">
        <is>
          <t>g</t>
        </is>
      </c>
      <c r="D486" s="13" t="n">
        <v>11.25</v>
      </c>
    </row>
    <row r="487">
      <c r="A487" t="inlineStr">
        <is>
          <t xml:space="preserve">   Dal Fry</t>
        </is>
      </c>
      <c r="B487" t="n">
        <v>160</v>
      </c>
      <c r="C487" t="inlineStr">
        <is>
          <t>g</t>
        </is>
      </c>
      <c r="D487" s="13" t="n">
        <v>16.2</v>
      </c>
    </row>
    <row r="488">
      <c r="A488" t="inlineStr">
        <is>
          <t xml:space="preserve">   Butter</t>
        </is>
      </c>
      <c r="B488" t="n">
        <v>30</v>
      </c>
      <c r="C488" t="inlineStr">
        <is>
          <t>g</t>
        </is>
      </c>
      <c r="D488" s="13" t="n">
        <v>16.2</v>
      </c>
    </row>
    <row r="489">
      <c r="A489" t="inlineStr">
        <is>
          <t xml:space="preserve">   Pyaz</t>
        </is>
      </c>
      <c r="B489" t="n">
        <v>30</v>
      </c>
      <c r="C489" t="inlineStr">
        <is>
          <t>g</t>
        </is>
      </c>
      <c r="D489" s="13" t="n">
        <v>0.54</v>
      </c>
    </row>
    <row r="490">
      <c r="A490" t="inlineStr">
        <is>
          <t xml:space="preserve">   Achar</t>
        </is>
      </c>
      <c r="B490" t="n">
        <v>10</v>
      </c>
      <c r="C490" t="inlineStr">
        <is>
          <t>g</t>
        </is>
      </c>
      <c r="D490" s="13" t="n">
        <v>0.5600000000000001</v>
      </c>
    </row>
    <row r="491">
      <c r="A491" t="inlineStr">
        <is>
          <t xml:space="preserve">   Lal Mirch</t>
        </is>
      </c>
      <c r="B491" t="n">
        <v>2</v>
      </c>
      <c r="C491" t="inlineStr">
        <is>
          <t>g</t>
        </is>
      </c>
      <c r="D491" s="13" t="n">
        <v>0.88</v>
      </c>
    </row>
    <row r="492">
      <c r="A492" t="inlineStr">
        <is>
          <t xml:space="preserve">   Jeera</t>
        </is>
      </c>
      <c r="B492" t="n">
        <v>2</v>
      </c>
      <c r="C492" t="inlineStr">
        <is>
          <t>g</t>
        </is>
      </c>
      <c r="D492" s="13" t="n">
        <v>0.76</v>
      </c>
    </row>
    <row r="493">
      <c r="A493" s="21" t="inlineStr">
        <is>
          <t>MITHAI</t>
        </is>
      </c>
      <c r="B493" s="22" t="n"/>
      <c r="C493" s="22" t="n"/>
      <c r="D493" s="22" t="n"/>
      <c r="E493" s="22" t="n"/>
      <c r="F493" s="22" t="n"/>
      <c r="G493" s="22" t="n"/>
      <c r="H493" s="22" t="n"/>
      <c r="I493" s="22" t="n"/>
    </row>
    <row r="494">
      <c r="A494" s="23" t="inlineStr">
        <is>
          <t>Rabdi Jalebi (combo)</t>
        </is>
      </c>
      <c r="B494" s="24" t="n"/>
      <c r="C494" s="24" t="n"/>
      <c r="D494" s="24" t="n"/>
      <c r="E494" s="25" t="n">
        <v>38.36</v>
      </c>
      <c r="F494" s="14" t="n">
        <v>140</v>
      </c>
      <c r="G494" s="26">
        <f>IF(F494=0,"",E494/F494)</f>
        <v/>
      </c>
      <c r="H494" s="27">
        <f>IF(F494=0,"",F494-E494)</f>
        <v/>
      </c>
      <c r="I494" s="24" t="inlineStr">
        <is>
          <t>plate</t>
        </is>
      </c>
    </row>
    <row r="495">
      <c r="A495" t="inlineStr">
        <is>
          <t xml:space="preserve">   Kesar Rabdi 100g</t>
        </is>
      </c>
      <c r="B495" t="n">
        <v>1</v>
      </c>
      <c r="C495" t="inlineStr">
        <is>
          <t>plate</t>
        </is>
      </c>
      <c r="D495" s="13" t="n">
        <v>21.41</v>
      </c>
    </row>
    <row r="496">
      <c r="A496" t="inlineStr">
        <is>
          <t xml:space="preserve">   Jalebi 100g</t>
        </is>
      </c>
      <c r="B496" t="n">
        <v>1</v>
      </c>
      <c r="C496" t="inlineStr">
        <is>
          <t>plate</t>
        </is>
      </c>
      <c r="D496" s="13" t="n">
        <v>16.95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14" customWidth="1" min="4" max="4"/>
    <col width="12" customWidth="1" min="5" max="5"/>
    <col width="18" customWidth="1" min="6" max="6"/>
  </cols>
  <sheetData>
    <row r="1">
      <c r="A1" s="12" t="inlineStr">
        <is>
          <t>Preparation / Ingredient</t>
        </is>
      </c>
      <c r="B1" s="12" t="inlineStr">
        <is>
          <t>Qty</t>
        </is>
      </c>
      <c r="C1" s="12" t="inlineStr">
        <is>
          <t>Unit</t>
        </is>
      </c>
      <c r="D1" s="12" t="inlineStr">
        <is>
          <t>Batch Yield</t>
        </is>
      </c>
      <c r="E1" s="12" t="inlineStr">
        <is>
          <t>Cost (₹)</t>
        </is>
      </c>
      <c r="F1" s="12" t="inlineStr">
        <is>
          <t>Cost per Unit (₹)</t>
        </is>
      </c>
    </row>
    <row r="2">
      <c r="A2" s="23" t="inlineStr">
        <is>
          <t>Hing ka Paani</t>
        </is>
      </c>
      <c r="B2" s="24" t="n"/>
      <c r="C2" s="24" t="inlineStr">
        <is>
          <t>₹/100ml</t>
        </is>
      </c>
      <c r="D2" s="24" t="inlineStr">
        <is>
          <t>1 l</t>
        </is>
      </c>
      <c r="E2" s="29" t="n">
        <v>360</v>
      </c>
      <c r="F2" s="30" t="n">
        <v>36</v>
      </c>
    </row>
    <row r="3">
      <c r="A3" t="inlineStr">
        <is>
          <t xml:space="preserve">   Hing</t>
        </is>
      </c>
      <c r="B3" t="n">
        <v>12</v>
      </c>
      <c r="C3" t="inlineStr">
        <is>
          <t>g</t>
        </is>
      </c>
      <c r="E3" s="13" t="n">
        <v>360</v>
      </c>
    </row>
    <row r="4">
      <c r="A4" t="inlineStr">
        <is>
          <t xml:space="preserve">   Paani</t>
        </is>
      </c>
      <c r="B4" t="n">
        <v>1</v>
      </c>
      <c r="C4" t="inlineStr">
        <is>
          <t>l</t>
        </is>
      </c>
      <c r="E4" s="13" t="n">
        <v>0</v>
      </c>
    </row>
    <row r="6">
      <c r="A6" s="23" t="inlineStr">
        <is>
          <t>Saunth (Meethi Chatni)</t>
        </is>
      </c>
      <c r="B6" s="24" t="n"/>
      <c r="C6" s="24" t="inlineStr">
        <is>
          <t>₹/100g</t>
        </is>
      </c>
      <c r="D6" s="24" t="inlineStr">
        <is>
          <t>24 kg</t>
        </is>
      </c>
      <c r="E6" s="29" t="n">
        <v>1448</v>
      </c>
      <c r="F6" s="30" t="n">
        <v>6.03</v>
      </c>
    </row>
    <row r="7">
      <c r="A7" t="inlineStr">
        <is>
          <t xml:space="preserve">   Shakkar</t>
        </is>
      </c>
      <c r="B7" t="n">
        <v>15</v>
      </c>
      <c r="C7" t="inlineStr">
        <is>
          <t>kg</t>
        </is>
      </c>
      <c r="E7" s="13" t="n">
        <v>639</v>
      </c>
    </row>
    <row r="8">
      <c r="A8" t="inlineStr">
        <is>
          <t xml:space="preserve">   Gud</t>
        </is>
      </c>
      <c r="B8" t="n">
        <v>3</v>
      </c>
      <c r="C8" t="inlineStr">
        <is>
          <t>kg</t>
        </is>
      </c>
      <c r="E8" s="13" t="n">
        <v>210</v>
      </c>
    </row>
    <row r="9">
      <c r="A9" t="inlineStr">
        <is>
          <t xml:space="preserve">   Paani</t>
        </is>
      </c>
      <c r="B9" t="n">
        <v>8</v>
      </c>
      <c r="C9" t="inlineStr">
        <is>
          <t>kg</t>
        </is>
      </c>
      <c r="E9" s="13" t="n">
        <v>0</v>
      </c>
    </row>
    <row r="10">
      <c r="A10" t="inlineStr">
        <is>
          <t xml:space="preserve">   Safed Namak</t>
        </is>
      </c>
      <c r="B10" t="n">
        <v>150</v>
      </c>
      <c r="C10" t="inlineStr">
        <is>
          <t>g</t>
        </is>
      </c>
      <c r="E10" s="13" t="n">
        <v>4.5</v>
      </c>
    </row>
    <row r="11">
      <c r="A11" t="inlineStr">
        <is>
          <t xml:space="preserve">   Kala Namak</t>
        </is>
      </c>
      <c r="B11" t="n">
        <v>150</v>
      </c>
      <c r="C11" t="inlineStr">
        <is>
          <t>g</t>
        </is>
      </c>
      <c r="E11" s="13" t="n">
        <v>7.5</v>
      </c>
    </row>
    <row r="12">
      <c r="A12" t="inlineStr">
        <is>
          <t xml:space="preserve">   Lal Mirch</t>
        </is>
      </c>
      <c r="B12" t="n">
        <v>200</v>
      </c>
      <c r="C12" t="inlineStr">
        <is>
          <t>g</t>
        </is>
      </c>
      <c r="E12" s="13" t="n">
        <v>88</v>
      </c>
    </row>
    <row r="13">
      <c r="A13" t="inlineStr">
        <is>
          <t xml:space="preserve">   Kali Mirch</t>
        </is>
      </c>
      <c r="B13" t="n">
        <v>50</v>
      </c>
      <c r="C13" t="inlineStr">
        <is>
          <t>g</t>
        </is>
      </c>
      <c r="E13" s="13" t="n">
        <v>49</v>
      </c>
    </row>
    <row r="14">
      <c r="A14" t="inlineStr">
        <is>
          <t xml:space="preserve">   Saunth Powder</t>
        </is>
      </c>
      <c r="B14" t="n">
        <v>100</v>
      </c>
      <c r="C14" t="inlineStr">
        <is>
          <t>g</t>
        </is>
      </c>
      <c r="E14" s="13" t="n">
        <v>30</v>
      </c>
    </row>
    <row r="15">
      <c r="A15" t="inlineStr">
        <is>
          <t xml:space="preserve">   Aamchur</t>
        </is>
      </c>
      <c r="B15" t="n">
        <v>3</v>
      </c>
      <c r="C15" t="inlineStr">
        <is>
          <t>kg</t>
        </is>
      </c>
      <c r="E15" s="13" t="n">
        <v>420</v>
      </c>
    </row>
    <row r="17">
      <c r="A17" s="23" t="inlineStr">
        <is>
          <t>Hari Chatni</t>
        </is>
      </c>
      <c r="B17" s="24" t="n"/>
      <c r="C17" s="24" t="inlineStr">
        <is>
          <t>₹/100g</t>
        </is>
      </c>
      <c r="D17" s="24" t="inlineStr">
        <is>
          <t>6.5 kg</t>
        </is>
      </c>
      <c r="E17" s="29" t="n">
        <v>276</v>
      </c>
      <c r="F17" s="30" t="n">
        <v>4.25</v>
      </c>
    </row>
    <row r="18">
      <c r="A18" t="inlineStr">
        <is>
          <t xml:space="preserve">   Palak</t>
        </is>
      </c>
      <c r="B18" t="n">
        <v>2</v>
      </c>
      <c r="C18" t="inlineStr">
        <is>
          <t>kg</t>
        </is>
      </c>
      <c r="E18" s="13" t="n">
        <v>140</v>
      </c>
    </row>
    <row r="19">
      <c r="A19" t="inlineStr">
        <is>
          <t xml:space="preserve">   Hara Dhaniya</t>
        </is>
      </c>
      <c r="B19" t="n">
        <v>1</v>
      </c>
      <c r="C19" t="inlineStr">
        <is>
          <t>kg</t>
        </is>
      </c>
      <c r="E19" s="13" t="n">
        <v>80</v>
      </c>
    </row>
    <row r="20">
      <c r="A20" t="inlineStr">
        <is>
          <t xml:space="preserve">   Pudina</t>
        </is>
      </c>
      <c r="B20" t="n">
        <v>500</v>
      </c>
      <c r="C20" t="inlineStr">
        <is>
          <t>g</t>
        </is>
      </c>
      <c r="E20" s="13" t="n">
        <v>28</v>
      </c>
    </row>
    <row r="21">
      <c r="A21" t="inlineStr">
        <is>
          <t xml:space="preserve">   Safed Namak</t>
        </is>
      </c>
      <c r="B21" t="n">
        <v>100</v>
      </c>
      <c r="C21" t="inlineStr">
        <is>
          <t>g</t>
        </is>
      </c>
      <c r="E21" s="13" t="n">
        <v>3</v>
      </c>
    </row>
    <row r="22">
      <c r="A22" t="inlineStr">
        <is>
          <t xml:space="preserve">   Kala Namak</t>
        </is>
      </c>
      <c r="B22" t="n">
        <v>100</v>
      </c>
      <c r="C22" t="inlineStr">
        <is>
          <t>g</t>
        </is>
      </c>
      <c r="E22" s="13" t="n">
        <v>5</v>
      </c>
    </row>
    <row r="23">
      <c r="A23" t="inlineStr">
        <is>
          <t xml:space="preserve">   Nimbu</t>
        </is>
      </c>
      <c r="B23" t="n">
        <v>250</v>
      </c>
      <c r="C23" t="inlineStr">
        <is>
          <t>g</t>
        </is>
      </c>
      <c r="E23" s="13" t="n">
        <v>20</v>
      </c>
    </row>
    <row r="24">
      <c r="A24" t="inlineStr">
        <is>
          <t xml:space="preserve">   Paani</t>
        </is>
      </c>
      <c r="B24" t="n">
        <v>2.5</v>
      </c>
      <c r="C24" t="inlineStr">
        <is>
          <t>kg</t>
        </is>
      </c>
      <c r="E24" s="13" t="n">
        <v>0</v>
      </c>
    </row>
    <row r="26">
      <c r="A26" s="23" t="inlineStr">
        <is>
          <t>Lal Masala</t>
        </is>
      </c>
      <c r="B26" s="24" t="n"/>
      <c r="C26" s="24" t="inlineStr">
        <is>
          <t>₹/100g</t>
        </is>
      </c>
      <c r="D26" s="24" t="inlineStr">
        <is>
          <t>5 kg</t>
        </is>
      </c>
      <c r="E26" s="29" t="n">
        <v>1788</v>
      </c>
      <c r="F26" s="30" t="n">
        <v>35.76</v>
      </c>
    </row>
    <row r="27">
      <c r="A27" t="inlineStr">
        <is>
          <t xml:space="preserve">   Safed Namak</t>
        </is>
      </c>
      <c r="B27" t="n">
        <v>1</v>
      </c>
      <c r="C27" t="inlineStr">
        <is>
          <t>kg</t>
        </is>
      </c>
      <c r="E27" s="13" t="n">
        <v>30</v>
      </c>
    </row>
    <row r="28">
      <c r="A28" t="inlineStr">
        <is>
          <t xml:space="preserve">   Kala Namak</t>
        </is>
      </c>
      <c r="B28" t="n">
        <v>1</v>
      </c>
      <c r="C28" t="inlineStr">
        <is>
          <t>kg</t>
        </is>
      </c>
      <c r="E28" s="13" t="n">
        <v>50</v>
      </c>
    </row>
    <row r="29">
      <c r="A29" t="inlineStr">
        <is>
          <t xml:space="preserve">   Aamchur</t>
        </is>
      </c>
      <c r="B29" t="n">
        <v>1</v>
      </c>
      <c r="C29" t="inlineStr">
        <is>
          <t>kg</t>
        </is>
      </c>
      <c r="E29" s="13" t="n">
        <v>140</v>
      </c>
    </row>
    <row r="30">
      <c r="A30" t="inlineStr">
        <is>
          <t xml:space="preserve">   Garam Masala</t>
        </is>
      </c>
      <c r="B30" t="n">
        <v>800</v>
      </c>
      <c r="C30" t="inlineStr">
        <is>
          <t>g</t>
        </is>
      </c>
      <c r="E30" s="13" t="n">
        <v>752</v>
      </c>
    </row>
    <row r="31">
      <c r="A31" t="inlineStr">
        <is>
          <t xml:space="preserve">   Jeera</t>
        </is>
      </c>
      <c r="B31" t="n">
        <v>200</v>
      </c>
      <c r="C31" t="inlineStr">
        <is>
          <t>g</t>
        </is>
      </c>
      <c r="E31" s="13" t="n">
        <v>76</v>
      </c>
    </row>
    <row r="32">
      <c r="A32" t="inlineStr">
        <is>
          <t xml:space="preserve">   Hing</t>
        </is>
      </c>
      <c r="B32" t="n">
        <v>10</v>
      </c>
      <c r="C32" t="inlineStr">
        <is>
          <t>g</t>
        </is>
      </c>
      <c r="E32" s="13" t="n">
        <v>300</v>
      </c>
    </row>
    <row r="33">
      <c r="A33" t="inlineStr">
        <is>
          <t xml:space="preserve">   Lal Mirch</t>
        </is>
      </c>
      <c r="B33" t="n">
        <v>1</v>
      </c>
      <c r="C33" t="inlineStr">
        <is>
          <t>kg</t>
        </is>
      </c>
      <c r="E33" s="13" t="n">
        <v>440</v>
      </c>
    </row>
    <row r="35">
      <c r="A35" s="23" t="inlineStr">
        <is>
          <t>Hing Jhol</t>
        </is>
      </c>
      <c r="B35" s="24" t="n"/>
      <c r="C35" s="24" t="inlineStr">
        <is>
          <t>₹/100g</t>
        </is>
      </c>
      <c r="D35" s="24" t="inlineStr">
        <is>
          <t>22 kg</t>
        </is>
      </c>
      <c r="E35" s="29" t="n">
        <v>395.38</v>
      </c>
      <c r="F35" s="30" t="n">
        <v>1.8</v>
      </c>
    </row>
    <row r="36">
      <c r="A36" t="inlineStr">
        <is>
          <t xml:space="preserve">   Aloo</t>
        </is>
      </c>
      <c r="B36" t="n">
        <v>7</v>
      </c>
      <c r="C36" t="inlineStr">
        <is>
          <t>kg</t>
        </is>
      </c>
      <c r="E36" s="13" t="n">
        <v>210</v>
      </c>
    </row>
    <row r="37">
      <c r="A37" t="inlineStr">
        <is>
          <t xml:space="preserve">   Paani</t>
        </is>
      </c>
      <c r="B37" t="n">
        <v>15</v>
      </c>
      <c r="C37" t="inlineStr">
        <is>
          <t>l</t>
        </is>
      </c>
      <c r="E37" s="13" t="n">
        <v>0</v>
      </c>
    </row>
    <row r="38">
      <c r="A38" t="inlineStr">
        <is>
          <t xml:space="preserve">   Lal Mirch</t>
        </is>
      </c>
      <c r="B38" t="n">
        <v>50</v>
      </c>
      <c r="C38" t="inlineStr">
        <is>
          <t>g</t>
        </is>
      </c>
      <c r="E38" s="13" t="n">
        <v>22</v>
      </c>
    </row>
    <row r="39">
      <c r="A39" t="inlineStr">
        <is>
          <t xml:space="preserve">   Dhaniya Powder</t>
        </is>
      </c>
      <c r="B39" t="n">
        <v>50</v>
      </c>
      <c r="C39" t="inlineStr">
        <is>
          <t>g</t>
        </is>
      </c>
      <c r="E39" s="13" t="n">
        <v>19.5</v>
      </c>
    </row>
    <row r="40">
      <c r="A40" t="inlineStr">
        <is>
          <t xml:space="preserve">   Kali Mirch</t>
        </is>
      </c>
      <c r="B40" t="n">
        <v>50</v>
      </c>
      <c r="C40" t="inlineStr">
        <is>
          <t>g</t>
        </is>
      </c>
      <c r="E40" s="13" t="n">
        <v>49</v>
      </c>
    </row>
    <row r="41">
      <c r="A41" t="inlineStr">
        <is>
          <t xml:space="preserve">   Kala Namak</t>
        </is>
      </c>
      <c r="B41" t="n">
        <v>100</v>
      </c>
      <c r="C41" t="inlineStr">
        <is>
          <t>g</t>
        </is>
      </c>
      <c r="E41" s="13" t="n">
        <v>5</v>
      </c>
    </row>
    <row r="42">
      <c r="A42" t="inlineStr">
        <is>
          <t xml:space="preserve">   Safed Namak</t>
        </is>
      </c>
      <c r="B42" t="n">
        <v>100</v>
      </c>
      <c r="C42" t="inlineStr">
        <is>
          <t>g</t>
        </is>
      </c>
      <c r="E42" s="13" t="n">
        <v>3</v>
      </c>
    </row>
    <row r="43">
      <c r="A43" t="inlineStr">
        <is>
          <t xml:space="preserve">   Haldi</t>
        </is>
      </c>
      <c r="B43" t="n">
        <v>32</v>
      </c>
      <c r="C43" t="inlineStr">
        <is>
          <t>g</t>
        </is>
      </c>
      <c r="E43" s="13" t="n">
        <v>14.08</v>
      </c>
    </row>
    <row r="44">
      <c r="A44" t="inlineStr">
        <is>
          <t xml:space="preserve">   Kasuri Methi</t>
        </is>
      </c>
      <c r="B44" t="n">
        <v>10</v>
      </c>
      <c r="C44" t="inlineStr">
        <is>
          <t>g</t>
        </is>
      </c>
      <c r="E44" s="13" t="n">
        <v>2.8</v>
      </c>
    </row>
    <row r="45">
      <c r="A45" t="inlineStr">
        <is>
          <t xml:space="preserve">   Hing ka Paani</t>
        </is>
      </c>
      <c r="B45" t="n">
        <v>100</v>
      </c>
      <c r="C45" t="inlineStr">
        <is>
          <t>ml</t>
        </is>
      </c>
      <c r="E45" s="13" t="n">
        <v>36</v>
      </c>
    </row>
    <row r="46">
      <c r="A46" t="inlineStr">
        <is>
          <t xml:space="preserve">   Besan</t>
        </is>
      </c>
      <c r="B46" t="n">
        <v>400</v>
      </c>
      <c r="C46" t="inlineStr">
        <is>
          <t>g</t>
        </is>
      </c>
      <c r="E46" s="13" t="n">
        <v>34</v>
      </c>
    </row>
    <row r="48">
      <c r="A48" s="23" t="inlineStr">
        <is>
          <t>Chaat ka Dahi</t>
        </is>
      </c>
      <c r="B48" s="24" t="n"/>
      <c r="C48" s="24" t="inlineStr">
        <is>
          <t>₹/100g</t>
        </is>
      </c>
      <c r="D48" s="24" t="inlineStr">
        <is>
          <t>2 kg</t>
        </is>
      </c>
      <c r="E48" s="29" t="n">
        <v>132.52</v>
      </c>
      <c r="F48" s="30" t="n">
        <v>6.63</v>
      </c>
    </row>
    <row r="49">
      <c r="A49" t="inlineStr">
        <is>
          <t xml:space="preserve">   Dahi</t>
        </is>
      </c>
      <c r="B49" t="n">
        <v>2</v>
      </c>
      <c r="C49" t="inlineStr">
        <is>
          <t>kg</t>
        </is>
      </c>
      <c r="E49" s="13" t="n">
        <v>124</v>
      </c>
    </row>
    <row r="50">
      <c r="A50" t="inlineStr">
        <is>
          <t xml:space="preserve">   Shakkar</t>
        </is>
      </c>
      <c r="B50" t="n">
        <v>200</v>
      </c>
      <c r="C50" t="inlineStr">
        <is>
          <t>g</t>
        </is>
      </c>
      <c r="E50" s="13" t="n">
        <v>8.52</v>
      </c>
    </row>
    <row r="52">
      <c r="A52" s="23" t="inlineStr">
        <is>
          <t>Paste</t>
        </is>
      </c>
      <c r="B52" s="24" t="n"/>
      <c r="C52" s="24" t="inlineStr">
        <is>
          <t>₹/100g</t>
        </is>
      </c>
      <c r="D52" s="24" t="inlineStr">
        <is>
          <t>170 g</t>
        </is>
      </c>
      <c r="E52" s="29" t="n">
        <v>14</v>
      </c>
      <c r="F52" s="30" t="n">
        <v>8.24</v>
      </c>
    </row>
    <row r="53">
      <c r="A53" t="inlineStr">
        <is>
          <t xml:space="preserve">   Hara Mircha</t>
        </is>
      </c>
      <c r="B53" t="n">
        <v>100</v>
      </c>
      <c r="C53" t="inlineStr">
        <is>
          <t>g</t>
        </is>
      </c>
      <c r="E53" s="13" t="n">
        <v>7</v>
      </c>
    </row>
    <row r="54">
      <c r="A54" t="inlineStr">
        <is>
          <t xml:space="preserve">   Lahsun</t>
        </is>
      </c>
      <c r="B54" t="n">
        <v>30</v>
      </c>
      <c r="C54" t="inlineStr">
        <is>
          <t>g</t>
        </is>
      </c>
      <c r="E54" s="13" t="n">
        <v>3</v>
      </c>
    </row>
    <row r="55">
      <c r="A55" t="inlineStr">
        <is>
          <t xml:space="preserve">   Adrak</t>
        </is>
      </c>
      <c r="B55" t="n">
        <v>50</v>
      </c>
      <c r="C55" t="inlineStr">
        <is>
          <t>g</t>
        </is>
      </c>
      <c r="E55" s="13" t="n">
        <v>4</v>
      </c>
    </row>
    <row r="57">
      <c r="A57" s="23" t="inlineStr">
        <is>
          <t>Chena</t>
        </is>
      </c>
      <c r="B57" s="24" t="n"/>
      <c r="C57" s="24" t="inlineStr">
        <is>
          <t>₹/100g</t>
        </is>
      </c>
      <c r="D57" s="24" t="inlineStr">
        <is>
          <t>1.8 kg</t>
        </is>
      </c>
      <c r="E57" s="29" t="n">
        <v>825</v>
      </c>
      <c r="F57" s="30" t="n">
        <v>45.83</v>
      </c>
    </row>
    <row r="58">
      <c r="A58" t="inlineStr">
        <is>
          <t xml:space="preserve">   Cow Milk</t>
        </is>
      </c>
      <c r="B58" t="n">
        <v>15</v>
      </c>
      <c r="C58" t="inlineStr">
        <is>
          <t>l</t>
        </is>
      </c>
      <c r="E58" s="13" t="n">
        <v>825</v>
      </c>
    </row>
    <row r="59">
      <c r="A59" t="inlineStr">
        <is>
          <t xml:space="preserve">   Paani</t>
        </is>
      </c>
      <c r="B59" t="n">
        <v>5</v>
      </c>
      <c r="C59" t="inlineStr">
        <is>
          <t>kg</t>
        </is>
      </c>
      <c r="E59" s="13" t="n">
        <v>0</v>
      </c>
    </row>
    <row r="61">
      <c r="A61" s="23" t="inlineStr">
        <is>
          <t>Motichur Dana Base</t>
        </is>
      </c>
      <c r="B61" s="24" t="n"/>
      <c r="C61" s="24" t="inlineStr">
        <is>
          <t>₹/100g</t>
        </is>
      </c>
      <c r="D61" s="24" t="inlineStr">
        <is>
          <t>2 kg</t>
        </is>
      </c>
      <c r="E61" s="29" t="n">
        <v>578</v>
      </c>
      <c r="F61" s="30" t="n">
        <v>28.9</v>
      </c>
    </row>
    <row r="62">
      <c r="A62" t="inlineStr">
        <is>
          <t xml:space="preserve">   Besan</t>
        </is>
      </c>
      <c r="B62" t="n">
        <v>1</v>
      </c>
      <c r="C62" t="inlineStr">
        <is>
          <t>kg</t>
        </is>
      </c>
      <c r="E62" s="13" t="n">
        <v>85</v>
      </c>
    </row>
    <row r="63">
      <c r="A63" t="inlineStr">
        <is>
          <t xml:space="preserve">   Desi Ghee</t>
        </is>
      </c>
      <c r="B63" t="n">
        <v>1</v>
      </c>
      <c r="C63" t="inlineStr">
        <is>
          <t>kg</t>
        </is>
      </c>
      <c r="E63" s="13" t="n">
        <v>493</v>
      </c>
    </row>
    <row r="64">
      <c r="A64" t="inlineStr">
        <is>
          <t xml:space="preserve">   Paani</t>
        </is>
      </c>
      <c r="B64" t="n">
        <v>1</v>
      </c>
      <c r="C64" t="inlineStr">
        <is>
          <t>kg</t>
        </is>
      </c>
      <c r="E64" s="13" t="n">
        <v>0</v>
      </c>
    </row>
    <row r="66">
      <c r="A66" s="23" t="inlineStr">
        <is>
          <t>Bedai ka Masala</t>
        </is>
      </c>
      <c r="B66" s="24" t="n"/>
      <c r="C66" s="24" t="inlineStr">
        <is>
          <t>₹/100g</t>
        </is>
      </c>
      <c r="D66" s="24" t="inlineStr">
        <is>
          <t>450 g</t>
        </is>
      </c>
      <c r="E66" s="29" t="n">
        <v>84.02</v>
      </c>
      <c r="F66" s="30" t="n">
        <v>18.67</v>
      </c>
    </row>
    <row r="67">
      <c r="A67" t="inlineStr">
        <is>
          <t xml:space="preserve">   Moong Dal</t>
        </is>
      </c>
      <c r="B67" t="n">
        <v>250</v>
      </c>
      <c r="C67" t="inlineStr">
        <is>
          <t>g</t>
        </is>
      </c>
      <c r="E67" s="13" t="n">
        <v>30</v>
      </c>
    </row>
    <row r="68">
      <c r="A68" t="inlineStr">
        <is>
          <t xml:space="preserve">   Hing ka Paani</t>
        </is>
      </c>
      <c r="B68" t="n">
        <v>50</v>
      </c>
      <c r="C68" t="inlineStr">
        <is>
          <t>ml</t>
        </is>
      </c>
      <c r="E68" s="13" t="n">
        <v>18</v>
      </c>
    </row>
    <row r="69">
      <c r="A69" t="inlineStr">
        <is>
          <t xml:space="preserve">   Lal Mirch</t>
        </is>
      </c>
      <c r="B69" t="n">
        <v>20</v>
      </c>
      <c r="C69" t="inlineStr">
        <is>
          <t>g</t>
        </is>
      </c>
      <c r="E69" s="13" t="n">
        <v>8.800000000000001</v>
      </c>
    </row>
    <row r="70">
      <c r="A70" t="inlineStr">
        <is>
          <t xml:space="preserve">   Kala Namak</t>
        </is>
      </c>
      <c r="B70" t="n">
        <v>10</v>
      </c>
      <c r="C70" t="inlineStr">
        <is>
          <t>g</t>
        </is>
      </c>
      <c r="E70" s="13" t="n">
        <v>0.5</v>
      </c>
    </row>
    <row r="71">
      <c r="A71" t="inlineStr">
        <is>
          <t xml:space="preserve">   Safed Namak</t>
        </is>
      </c>
      <c r="B71" t="n">
        <v>20</v>
      </c>
      <c r="C71" t="inlineStr">
        <is>
          <t>g</t>
        </is>
      </c>
      <c r="E71" s="13" t="n">
        <v>0.6</v>
      </c>
    </row>
    <row r="72">
      <c r="A72" t="inlineStr">
        <is>
          <t xml:space="preserve">   Kali Mirch</t>
        </is>
      </c>
      <c r="B72" t="n">
        <v>8</v>
      </c>
      <c r="C72" t="inlineStr">
        <is>
          <t>g</t>
        </is>
      </c>
      <c r="E72" s="13" t="n">
        <v>7.84</v>
      </c>
    </row>
    <row r="73">
      <c r="A73" t="inlineStr">
        <is>
          <t xml:space="preserve">   Paani</t>
        </is>
      </c>
      <c r="B73" t="n">
        <v>150</v>
      </c>
      <c r="C73" t="inlineStr">
        <is>
          <t>ml</t>
        </is>
      </c>
      <c r="E73" s="13" t="n">
        <v>0</v>
      </c>
    </row>
    <row r="74">
      <c r="A74" t="inlineStr">
        <is>
          <t xml:space="preserve">   Kasuri Methi</t>
        </is>
      </c>
      <c r="B74" t="n">
        <v>2</v>
      </c>
      <c r="C74" t="inlineStr">
        <is>
          <t>g</t>
        </is>
      </c>
      <c r="E74" s="13" t="n">
        <v>0.5600000000000001</v>
      </c>
    </row>
    <row r="75">
      <c r="A75" t="inlineStr">
        <is>
          <t xml:space="preserve">   Sauf</t>
        </is>
      </c>
      <c r="B75" t="n">
        <v>2</v>
      </c>
      <c r="C75" t="inlineStr">
        <is>
          <t>g</t>
        </is>
      </c>
      <c r="E75" s="13" t="n">
        <v>0.52</v>
      </c>
    </row>
    <row r="76">
      <c r="A76" t="inlineStr">
        <is>
          <t xml:space="preserve">   Refined Oil</t>
        </is>
      </c>
      <c r="B76" t="n">
        <v>100</v>
      </c>
      <c r="C76" t="inlineStr">
        <is>
          <t>g</t>
        </is>
      </c>
      <c r="E76" s="13" t="n">
        <v>17.2</v>
      </c>
    </row>
    <row r="78">
      <c r="A78" s="23" t="inlineStr">
        <is>
          <t>Sabji wali Kachori Masala</t>
        </is>
      </c>
      <c r="B78" s="24" t="n"/>
      <c r="C78" s="24" t="inlineStr">
        <is>
          <t>₹/100g</t>
        </is>
      </c>
      <c r="D78" s="24" t="inlineStr">
        <is>
          <t>4.4 kg</t>
        </is>
      </c>
      <c r="E78" s="29" t="n">
        <v>457.5</v>
      </c>
      <c r="F78" s="30" t="n">
        <v>10.4</v>
      </c>
    </row>
    <row r="79">
      <c r="A79" t="inlineStr">
        <is>
          <t xml:space="preserve">   Moong Dal</t>
        </is>
      </c>
      <c r="B79" t="n">
        <v>1.25</v>
      </c>
      <c r="C79" t="inlineStr">
        <is>
          <t>kg</t>
        </is>
      </c>
      <c r="E79" s="13" t="n">
        <v>150</v>
      </c>
    </row>
    <row r="80">
      <c r="A80" t="inlineStr">
        <is>
          <t xml:space="preserve">   Refined Oil</t>
        </is>
      </c>
      <c r="B80" t="n">
        <v>1</v>
      </c>
      <c r="C80" t="inlineStr">
        <is>
          <t>kg</t>
        </is>
      </c>
      <c r="E80" s="13" t="n">
        <v>172</v>
      </c>
    </row>
    <row r="81">
      <c r="A81" t="inlineStr">
        <is>
          <t xml:space="preserve">   Besan</t>
        </is>
      </c>
      <c r="B81" t="n">
        <v>1</v>
      </c>
      <c r="C81" t="inlineStr">
        <is>
          <t>kg</t>
        </is>
      </c>
      <c r="E81" s="13" t="n">
        <v>85</v>
      </c>
    </row>
    <row r="82">
      <c r="A82" t="inlineStr">
        <is>
          <t xml:space="preserve">   Lal Mirch</t>
        </is>
      </c>
      <c r="B82" t="n">
        <v>40</v>
      </c>
      <c r="C82" t="inlineStr">
        <is>
          <t>g</t>
        </is>
      </c>
      <c r="E82" s="13" t="n">
        <v>17.6</v>
      </c>
    </row>
    <row r="83">
      <c r="A83" t="inlineStr">
        <is>
          <t xml:space="preserve">   Aamchur</t>
        </is>
      </c>
      <c r="B83" t="n">
        <v>20</v>
      </c>
      <c r="C83" t="inlineStr">
        <is>
          <t>g</t>
        </is>
      </c>
      <c r="E83" s="13" t="n">
        <v>2.8</v>
      </c>
    </row>
    <row r="84">
      <c r="A84" t="inlineStr">
        <is>
          <t xml:space="preserve">   Kasuri Methi</t>
        </is>
      </c>
      <c r="B84" t="n">
        <v>10</v>
      </c>
      <c r="C84" t="inlineStr">
        <is>
          <t>g</t>
        </is>
      </c>
      <c r="E84" s="13" t="n">
        <v>2.8</v>
      </c>
    </row>
    <row r="85">
      <c r="A85" t="inlineStr">
        <is>
          <t xml:space="preserve">   Kali Mirch</t>
        </is>
      </c>
      <c r="B85" t="n">
        <v>25</v>
      </c>
      <c r="C85" t="inlineStr">
        <is>
          <t>g</t>
        </is>
      </c>
      <c r="E85" s="13" t="n">
        <v>24.5</v>
      </c>
    </row>
    <row r="86">
      <c r="A86" t="inlineStr">
        <is>
          <t xml:space="preserve">   Kala Namak</t>
        </is>
      </c>
      <c r="B86" t="n">
        <v>20</v>
      </c>
      <c r="C86" t="inlineStr">
        <is>
          <t>g</t>
        </is>
      </c>
      <c r="E86" s="13" t="n">
        <v>1</v>
      </c>
    </row>
    <row r="87">
      <c r="A87" t="inlineStr">
        <is>
          <t xml:space="preserve">   Safed Namak</t>
        </is>
      </c>
      <c r="B87" t="n">
        <v>60</v>
      </c>
      <c r="C87" t="inlineStr">
        <is>
          <t>g</t>
        </is>
      </c>
      <c r="E87" s="13" t="n">
        <v>1.8</v>
      </c>
    </row>
    <row r="89">
      <c r="A89" s="23" t="inlineStr">
        <is>
          <t>Dal Kachori Masala</t>
        </is>
      </c>
      <c r="B89" s="24" t="n"/>
      <c r="C89" s="24" t="inlineStr">
        <is>
          <t>₹/100g</t>
        </is>
      </c>
      <c r="D89" s="24" t="inlineStr">
        <is>
          <t>800 g</t>
        </is>
      </c>
      <c r="E89" s="29" t="n">
        <v>89.05</v>
      </c>
      <c r="F89" s="30" t="n">
        <v>11.13</v>
      </c>
    </row>
    <row r="90">
      <c r="A90" t="inlineStr">
        <is>
          <t xml:space="preserve">   Moong Dal</t>
        </is>
      </c>
      <c r="B90" t="n">
        <v>250</v>
      </c>
      <c r="C90" t="inlineStr">
        <is>
          <t>g</t>
        </is>
      </c>
      <c r="E90" s="13" t="n">
        <v>30</v>
      </c>
    </row>
    <row r="91">
      <c r="A91" t="inlineStr">
        <is>
          <t xml:space="preserve">   Paani</t>
        </is>
      </c>
      <c r="B91" t="n">
        <v>800</v>
      </c>
      <c r="C91" t="inlineStr">
        <is>
          <t>g</t>
        </is>
      </c>
      <c r="E91" s="13" t="n">
        <v>0</v>
      </c>
    </row>
    <row r="92">
      <c r="A92" t="inlineStr">
        <is>
          <t xml:space="preserve">   Besan</t>
        </is>
      </c>
      <c r="B92" t="n">
        <v>100</v>
      </c>
      <c r="C92" t="inlineStr">
        <is>
          <t>g</t>
        </is>
      </c>
      <c r="E92" s="13" t="n">
        <v>8.5</v>
      </c>
    </row>
    <row r="93">
      <c r="A93" t="inlineStr">
        <is>
          <t xml:space="preserve">   Kala Namak</t>
        </is>
      </c>
      <c r="B93" t="n">
        <v>10</v>
      </c>
      <c r="C93" t="inlineStr">
        <is>
          <t>g</t>
        </is>
      </c>
      <c r="E93" s="13" t="n">
        <v>0.5</v>
      </c>
    </row>
    <row r="94">
      <c r="A94" t="inlineStr">
        <is>
          <t xml:space="preserve">   Safed Namak</t>
        </is>
      </c>
      <c r="B94" t="n">
        <v>15</v>
      </c>
      <c r="C94" t="inlineStr">
        <is>
          <t>g</t>
        </is>
      </c>
      <c r="E94" s="13" t="n">
        <v>0.45</v>
      </c>
    </row>
    <row r="95">
      <c r="A95" t="inlineStr">
        <is>
          <t xml:space="preserve">   Lal Mirch</t>
        </is>
      </c>
      <c r="B95" t="n">
        <v>12</v>
      </c>
      <c r="C95" t="inlineStr">
        <is>
          <t>g</t>
        </is>
      </c>
      <c r="E95" s="13" t="n">
        <v>5.28</v>
      </c>
    </row>
    <row r="96">
      <c r="A96" t="inlineStr">
        <is>
          <t xml:space="preserve">   Laung</t>
        </is>
      </c>
      <c r="B96" t="n">
        <v>6</v>
      </c>
      <c r="C96" t="inlineStr">
        <is>
          <t>g</t>
        </is>
      </c>
      <c r="E96" s="13" t="n">
        <v>6.12</v>
      </c>
    </row>
    <row r="97">
      <c r="A97" t="inlineStr">
        <is>
          <t xml:space="preserve">   Sabut Dhaniya</t>
        </is>
      </c>
      <c r="B97" t="n">
        <v>10</v>
      </c>
      <c r="C97" t="inlineStr">
        <is>
          <t>g</t>
        </is>
      </c>
      <c r="E97" s="13" t="n">
        <v>2.2</v>
      </c>
    </row>
    <row r="98">
      <c r="A98" t="inlineStr">
        <is>
          <t xml:space="preserve">   Hing ka Paani</t>
        </is>
      </c>
      <c r="B98" t="n">
        <v>100</v>
      </c>
      <c r="C98" t="inlineStr">
        <is>
          <t>g</t>
        </is>
      </c>
      <c r="E98" s="13" t="n">
        <v>36</v>
      </c>
    </row>
    <row r="100">
      <c r="A100" s="23" t="inlineStr">
        <is>
          <t>Aloo Samosa Masala</t>
        </is>
      </c>
      <c r="B100" s="24" t="n"/>
      <c r="C100" s="24" t="inlineStr">
        <is>
          <t>₹/100g</t>
        </is>
      </c>
      <c r="D100" s="24" t="inlineStr">
        <is>
          <t>4.8 kg</t>
        </is>
      </c>
      <c r="E100" s="29" t="n">
        <v>214.87</v>
      </c>
      <c r="F100" s="30" t="n">
        <v>4.48</v>
      </c>
    </row>
    <row r="101">
      <c r="A101" t="inlineStr">
        <is>
          <t xml:space="preserve">   Aloo</t>
        </is>
      </c>
      <c r="B101" t="n">
        <v>5</v>
      </c>
      <c r="C101" t="inlineStr">
        <is>
          <t>kg</t>
        </is>
      </c>
      <c r="E101" s="13" t="n">
        <v>150</v>
      </c>
    </row>
    <row r="102">
      <c r="A102" t="inlineStr">
        <is>
          <t xml:space="preserve">   Hara Matar</t>
        </is>
      </c>
      <c r="B102" t="n">
        <v>200</v>
      </c>
      <c r="C102" t="inlineStr">
        <is>
          <t>g</t>
        </is>
      </c>
      <c r="E102" s="13" t="n">
        <v>16</v>
      </c>
    </row>
    <row r="103">
      <c r="A103" t="inlineStr">
        <is>
          <t xml:space="preserve">   Safed Namak</t>
        </is>
      </c>
      <c r="B103" t="n">
        <v>60</v>
      </c>
      <c r="C103" t="inlineStr">
        <is>
          <t>g</t>
        </is>
      </c>
      <c r="E103" s="13" t="n">
        <v>1.8</v>
      </c>
    </row>
    <row r="104">
      <c r="A104" t="inlineStr">
        <is>
          <t xml:space="preserve">   Kala Namak</t>
        </is>
      </c>
      <c r="B104" t="n">
        <v>20</v>
      </c>
      <c r="C104" t="inlineStr">
        <is>
          <t>g</t>
        </is>
      </c>
      <c r="E104" s="13" t="n">
        <v>1</v>
      </c>
    </row>
    <row r="105">
      <c r="A105" t="inlineStr">
        <is>
          <t xml:space="preserve">   Dhaniya Powder</t>
        </is>
      </c>
      <c r="B105" t="n">
        <v>15</v>
      </c>
      <c r="C105" t="inlineStr">
        <is>
          <t>g</t>
        </is>
      </c>
      <c r="E105" s="13" t="n">
        <v>5.85</v>
      </c>
    </row>
    <row r="106">
      <c r="A106" t="inlineStr">
        <is>
          <t xml:space="preserve">   Kali Mirch</t>
        </is>
      </c>
      <c r="B106" t="n">
        <v>25</v>
      </c>
      <c r="C106" t="inlineStr">
        <is>
          <t>g</t>
        </is>
      </c>
      <c r="E106" s="13" t="n">
        <v>24.5</v>
      </c>
    </row>
    <row r="107">
      <c r="A107" t="inlineStr">
        <is>
          <t xml:space="preserve">   Aamchur</t>
        </is>
      </c>
      <c r="B107" t="n">
        <v>12</v>
      </c>
      <c r="C107" t="inlineStr">
        <is>
          <t>g</t>
        </is>
      </c>
      <c r="E107" s="13" t="n">
        <v>1.68</v>
      </c>
    </row>
    <row r="108">
      <c r="A108" t="inlineStr">
        <is>
          <t xml:space="preserve">   Lal Mirch</t>
        </is>
      </c>
      <c r="B108" t="n">
        <v>30</v>
      </c>
      <c r="C108" t="inlineStr">
        <is>
          <t>g</t>
        </is>
      </c>
      <c r="E108" s="13" t="n">
        <v>13.2</v>
      </c>
    </row>
    <row r="109">
      <c r="A109" t="inlineStr">
        <is>
          <t xml:space="preserve">   Kasuri Methi</t>
        </is>
      </c>
      <c r="B109" t="n">
        <v>3</v>
      </c>
      <c r="C109" t="inlineStr">
        <is>
          <t>g</t>
        </is>
      </c>
      <c r="E109" s="13" t="n">
        <v>0.84</v>
      </c>
    </row>
    <row r="111">
      <c r="A111" s="23" t="inlineStr">
        <is>
          <t>Aloo Pyaz Samosa Masala</t>
        </is>
      </c>
      <c r="B111" s="24" t="n"/>
      <c r="C111" s="24" t="inlineStr">
        <is>
          <t>₹/100g</t>
        </is>
      </c>
      <c r="D111" s="24" t="inlineStr">
        <is>
          <t>5.8 kg</t>
        </is>
      </c>
      <c r="E111" s="29" t="n">
        <v>250.87</v>
      </c>
      <c r="F111" s="30" t="n">
        <v>4.33</v>
      </c>
    </row>
    <row r="112">
      <c r="A112" t="inlineStr">
        <is>
          <t xml:space="preserve">   Aloo</t>
        </is>
      </c>
      <c r="B112" t="n">
        <v>5</v>
      </c>
      <c r="C112" t="inlineStr">
        <is>
          <t>kg</t>
        </is>
      </c>
      <c r="E112" s="13" t="n">
        <v>150</v>
      </c>
    </row>
    <row r="113">
      <c r="A113" t="inlineStr">
        <is>
          <t xml:space="preserve">   Hara Matar</t>
        </is>
      </c>
      <c r="B113" t="n">
        <v>200</v>
      </c>
      <c r="C113" t="inlineStr">
        <is>
          <t>g</t>
        </is>
      </c>
      <c r="E113" s="13" t="n">
        <v>16</v>
      </c>
    </row>
    <row r="114">
      <c r="A114" t="inlineStr">
        <is>
          <t xml:space="preserve">   Safed Namak</t>
        </is>
      </c>
      <c r="B114" t="n">
        <v>60</v>
      </c>
      <c r="C114" t="inlineStr">
        <is>
          <t>g</t>
        </is>
      </c>
      <c r="E114" s="13" t="n">
        <v>1.8</v>
      </c>
    </row>
    <row r="115">
      <c r="A115" t="inlineStr">
        <is>
          <t xml:space="preserve">   Kala Namak</t>
        </is>
      </c>
      <c r="B115" t="n">
        <v>20</v>
      </c>
      <c r="C115" t="inlineStr">
        <is>
          <t>g</t>
        </is>
      </c>
      <c r="E115" s="13" t="n">
        <v>1</v>
      </c>
    </row>
    <row r="116">
      <c r="A116" t="inlineStr">
        <is>
          <t xml:space="preserve">   Dhaniya Powder</t>
        </is>
      </c>
      <c r="B116" t="n">
        <v>15</v>
      </c>
      <c r="C116" t="inlineStr">
        <is>
          <t>g</t>
        </is>
      </c>
      <c r="E116" s="13" t="n">
        <v>5.85</v>
      </c>
    </row>
    <row r="117">
      <c r="A117" t="inlineStr">
        <is>
          <t xml:space="preserve">   Kali Mirch</t>
        </is>
      </c>
      <c r="B117" t="n">
        <v>25</v>
      </c>
      <c r="C117" t="inlineStr">
        <is>
          <t>g</t>
        </is>
      </c>
      <c r="E117" s="13" t="n">
        <v>24.5</v>
      </c>
    </row>
    <row r="118">
      <c r="A118" t="inlineStr">
        <is>
          <t xml:space="preserve">   Aamchur</t>
        </is>
      </c>
      <c r="B118" t="n">
        <v>12</v>
      </c>
      <c r="C118" t="inlineStr">
        <is>
          <t>g</t>
        </is>
      </c>
      <c r="E118" s="13" t="n">
        <v>1.68</v>
      </c>
    </row>
    <row r="119">
      <c r="A119" t="inlineStr">
        <is>
          <t xml:space="preserve">   Lal Mirch</t>
        </is>
      </c>
      <c r="B119" t="n">
        <v>30</v>
      </c>
      <c r="C119" t="inlineStr">
        <is>
          <t>g</t>
        </is>
      </c>
      <c r="E119" s="13" t="n">
        <v>13.2</v>
      </c>
    </row>
    <row r="120">
      <c r="A120" t="inlineStr">
        <is>
          <t xml:space="preserve">   Kasuri Methi</t>
        </is>
      </c>
      <c r="B120" t="n">
        <v>3</v>
      </c>
      <c r="C120" t="inlineStr">
        <is>
          <t>g</t>
        </is>
      </c>
      <c r="E120" s="13" t="n">
        <v>0.84</v>
      </c>
    </row>
    <row r="121">
      <c r="A121" t="inlineStr">
        <is>
          <t xml:space="preserve">   Pyaz</t>
        </is>
      </c>
      <c r="B121" t="n">
        <v>2</v>
      </c>
      <c r="C121" t="inlineStr">
        <is>
          <t>kg</t>
        </is>
      </c>
      <c r="E121" s="13" t="n">
        <v>36</v>
      </c>
    </row>
    <row r="123">
      <c r="A123" s="23" t="inlineStr">
        <is>
          <t>Pani Puri Aloo Masala</t>
        </is>
      </c>
      <c r="B123" s="24" t="n"/>
      <c r="C123" s="24" t="inlineStr">
        <is>
          <t>₹/100g</t>
        </is>
      </c>
      <c r="D123" s="24" t="inlineStr">
        <is>
          <t>2.2 kg</t>
        </is>
      </c>
      <c r="E123" s="29" t="n">
        <v>81.15000000000001</v>
      </c>
      <c r="F123" s="30" t="n">
        <v>3.69</v>
      </c>
    </row>
    <row r="124">
      <c r="A124" t="inlineStr">
        <is>
          <t xml:space="preserve">   Aloo</t>
        </is>
      </c>
      <c r="B124" t="n">
        <v>2</v>
      </c>
      <c r="C124" t="inlineStr">
        <is>
          <t>kg</t>
        </is>
      </c>
      <c r="E124" s="13" t="n">
        <v>60</v>
      </c>
    </row>
    <row r="125">
      <c r="A125" t="inlineStr">
        <is>
          <t xml:space="preserve">   Safed Namak</t>
        </is>
      </c>
      <c r="B125" t="n">
        <v>25</v>
      </c>
      <c r="C125" t="inlineStr">
        <is>
          <t>g</t>
        </is>
      </c>
      <c r="E125" s="13" t="n">
        <v>0.75</v>
      </c>
    </row>
    <row r="126">
      <c r="A126" t="inlineStr">
        <is>
          <t xml:space="preserve">   Lal Mirch</t>
        </is>
      </c>
      <c r="B126" t="n">
        <v>10</v>
      </c>
      <c r="C126" t="inlineStr">
        <is>
          <t>g</t>
        </is>
      </c>
      <c r="E126" s="13" t="n">
        <v>4.4</v>
      </c>
    </row>
    <row r="127">
      <c r="A127" t="inlineStr">
        <is>
          <t xml:space="preserve">   Kala Chana</t>
        </is>
      </c>
      <c r="B127" t="n">
        <v>200</v>
      </c>
      <c r="C127" t="inlineStr">
        <is>
          <t>g</t>
        </is>
      </c>
      <c r="E127" s="13" t="n">
        <v>16</v>
      </c>
    </row>
    <row r="129">
      <c r="A129" s="23" t="inlineStr">
        <is>
          <t>Teekha Paani</t>
        </is>
      </c>
      <c r="B129" s="24" t="n"/>
      <c r="C129" s="24" t="inlineStr">
        <is>
          <t>₹/100ml</t>
        </is>
      </c>
      <c r="D129" s="24" t="inlineStr">
        <is>
          <t>9 l</t>
        </is>
      </c>
      <c r="E129" s="29" t="n">
        <v>147.56</v>
      </c>
      <c r="F129" s="30" t="n">
        <v>1.64</v>
      </c>
    </row>
    <row r="130">
      <c r="A130" t="inlineStr">
        <is>
          <t xml:space="preserve">   Paani</t>
        </is>
      </c>
      <c r="B130" t="n">
        <v>8</v>
      </c>
      <c r="C130" t="inlineStr">
        <is>
          <t>l</t>
        </is>
      </c>
      <c r="E130" s="13" t="n">
        <v>0</v>
      </c>
    </row>
    <row r="131">
      <c r="A131" t="inlineStr">
        <is>
          <t xml:space="preserve">   Imli</t>
        </is>
      </c>
      <c r="B131" t="n">
        <v>480</v>
      </c>
      <c r="C131" t="inlineStr">
        <is>
          <t>g</t>
        </is>
      </c>
      <c r="E131" s="13" t="n">
        <v>28.8</v>
      </c>
    </row>
    <row r="132">
      <c r="A132" t="inlineStr">
        <is>
          <t xml:space="preserve">   Hara Mircha</t>
        </is>
      </c>
      <c r="B132" t="n">
        <v>300</v>
      </c>
      <c r="C132" t="inlineStr">
        <is>
          <t>g</t>
        </is>
      </c>
      <c r="E132" s="13" t="n">
        <v>21</v>
      </c>
    </row>
    <row r="133">
      <c r="A133" t="inlineStr">
        <is>
          <t xml:space="preserve">   Safed Namak</t>
        </is>
      </c>
      <c r="B133" t="n">
        <v>100</v>
      </c>
      <c r="C133" t="inlineStr">
        <is>
          <t>g</t>
        </is>
      </c>
      <c r="E133" s="13" t="n">
        <v>3</v>
      </c>
    </row>
    <row r="134">
      <c r="A134" t="inlineStr">
        <is>
          <t xml:space="preserve">   Kala Namak</t>
        </is>
      </c>
      <c r="B134" t="n">
        <v>100</v>
      </c>
      <c r="C134" t="inlineStr">
        <is>
          <t>g</t>
        </is>
      </c>
      <c r="E134" s="13" t="n">
        <v>5</v>
      </c>
    </row>
    <row r="135">
      <c r="A135" t="inlineStr">
        <is>
          <t xml:space="preserve">   Pudina</t>
        </is>
      </c>
      <c r="B135" t="n">
        <v>150</v>
      </c>
      <c r="C135" t="inlineStr">
        <is>
          <t>g</t>
        </is>
      </c>
      <c r="E135" s="13" t="n">
        <v>8.4</v>
      </c>
    </row>
    <row r="136">
      <c r="A136" t="inlineStr">
        <is>
          <t xml:space="preserve">   Hara Dhaniya</t>
        </is>
      </c>
      <c r="B136" t="n">
        <v>300</v>
      </c>
      <c r="C136" t="inlineStr">
        <is>
          <t>g</t>
        </is>
      </c>
      <c r="E136" s="13" t="n">
        <v>24</v>
      </c>
    </row>
    <row r="137">
      <c r="A137" t="inlineStr">
        <is>
          <t xml:space="preserve">   Lal Masala</t>
        </is>
      </c>
      <c r="B137" t="n">
        <v>100</v>
      </c>
      <c r="C137" t="inlineStr">
        <is>
          <t>g</t>
        </is>
      </c>
      <c r="E137" s="13" t="n">
        <v>35.76</v>
      </c>
    </row>
    <row r="138">
      <c r="A138" t="inlineStr">
        <is>
          <t xml:space="preserve">   Hing ka Paani</t>
        </is>
      </c>
      <c r="B138" t="n">
        <v>60</v>
      </c>
      <c r="C138" t="inlineStr">
        <is>
          <t>g</t>
        </is>
      </c>
      <c r="E138" s="13" t="n">
        <v>21.6</v>
      </c>
    </row>
    <row r="140">
      <c r="A140" s="23" t="inlineStr">
        <is>
          <t>Meetha Paani</t>
        </is>
      </c>
      <c r="B140" s="24" t="n"/>
      <c r="C140" s="24" t="inlineStr">
        <is>
          <t>₹/100ml</t>
        </is>
      </c>
      <c r="D140" s="24" t="inlineStr">
        <is>
          <t>4.5 l</t>
        </is>
      </c>
      <c r="E140" s="29" t="n">
        <v>53.62</v>
      </c>
      <c r="F140" s="30" t="n">
        <v>1.19</v>
      </c>
    </row>
    <row r="141">
      <c r="A141" t="inlineStr">
        <is>
          <t xml:space="preserve">   Paani</t>
        </is>
      </c>
      <c r="B141" t="n">
        <v>4</v>
      </c>
      <c r="C141" t="inlineStr">
        <is>
          <t>l</t>
        </is>
      </c>
      <c r="E141" s="13" t="n">
        <v>0</v>
      </c>
    </row>
    <row r="142">
      <c r="A142" t="inlineStr">
        <is>
          <t xml:space="preserve">   Shakkar</t>
        </is>
      </c>
      <c r="B142" t="n">
        <v>600</v>
      </c>
      <c r="C142" t="inlineStr">
        <is>
          <t>g</t>
        </is>
      </c>
      <c r="E142" s="13" t="n">
        <v>25.56</v>
      </c>
    </row>
    <row r="143">
      <c r="A143" t="inlineStr">
        <is>
          <t xml:space="preserve">   Safed Namak</t>
        </is>
      </c>
      <c r="B143" t="n">
        <v>40</v>
      </c>
      <c r="C143" t="inlineStr">
        <is>
          <t>g</t>
        </is>
      </c>
      <c r="E143" s="13" t="n">
        <v>1.2</v>
      </c>
    </row>
    <row r="144">
      <c r="A144" t="inlineStr">
        <is>
          <t xml:space="preserve">   Kala Namak</t>
        </is>
      </c>
      <c r="B144" t="n">
        <v>20</v>
      </c>
      <c r="C144" t="inlineStr">
        <is>
          <t>g</t>
        </is>
      </c>
      <c r="E144" s="13" t="n">
        <v>1</v>
      </c>
    </row>
    <row r="145">
      <c r="A145" t="inlineStr">
        <is>
          <t xml:space="preserve">   Lal Masala</t>
        </is>
      </c>
      <c r="B145" t="n">
        <v>60</v>
      </c>
      <c r="C145" t="inlineStr">
        <is>
          <t>g</t>
        </is>
      </c>
      <c r="E145" s="13" t="n">
        <v>21.46</v>
      </c>
    </row>
    <row r="146">
      <c r="A146" t="inlineStr">
        <is>
          <t xml:space="preserve">   Lal Mirch</t>
        </is>
      </c>
      <c r="B146" t="n">
        <v>10</v>
      </c>
      <c r="C146" t="inlineStr">
        <is>
          <t>g</t>
        </is>
      </c>
      <c r="E146" s="13" t="n">
        <v>4.4</v>
      </c>
    </row>
    <row r="148">
      <c r="A148" s="23" t="inlineStr">
        <is>
          <t>Matar (prep)</t>
        </is>
      </c>
      <c r="B148" s="24" t="n"/>
      <c r="C148" s="24" t="inlineStr">
        <is>
          <t>₹/100g</t>
        </is>
      </c>
      <c r="D148" s="24" t="inlineStr">
        <is>
          <t>3 kg</t>
        </is>
      </c>
      <c r="E148" s="29" t="n">
        <v>75.16</v>
      </c>
      <c r="F148" s="30" t="n">
        <v>2.51</v>
      </c>
    </row>
    <row r="149">
      <c r="A149" t="inlineStr">
        <is>
          <t xml:space="preserve">   Safed Matar</t>
        </is>
      </c>
      <c r="B149" t="n">
        <v>1</v>
      </c>
      <c r="C149" t="inlineStr">
        <is>
          <t>kg</t>
        </is>
      </c>
      <c r="E149" s="13" t="n">
        <v>75</v>
      </c>
    </row>
    <row r="150">
      <c r="A150" t="inlineStr">
        <is>
          <t xml:space="preserve">   Meetha Soda</t>
        </is>
      </c>
      <c r="B150" t="n">
        <v>2</v>
      </c>
      <c r="C150" t="inlineStr">
        <is>
          <t>g</t>
        </is>
      </c>
      <c r="E150" s="13" t="n">
        <v>0.16</v>
      </c>
    </row>
    <row r="151">
      <c r="A151" t="inlineStr">
        <is>
          <t xml:space="preserve">   Paani</t>
        </is>
      </c>
      <c r="B151" t="n">
        <v>2</v>
      </c>
      <c r="C151" t="inlineStr">
        <is>
          <t>kg</t>
        </is>
      </c>
      <c r="E151" s="13" t="n">
        <v>0</v>
      </c>
    </row>
    <row r="153">
      <c r="A153" s="23" t="inlineStr">
        <is>
          <t>Bedai (pc)</t>
        </is>
      </c>
      <c r="B153" s="24" t="n"/>
      <c r="C153" s="24" t="inlineStr">
        <is>
          <t>₹/pc</t>
        </is>
      </c>
      <c r="D153" s="24" t="inlineStr">
        <is>
          <t>40 pc</t>
        </is>
      </c>
      <c r="E153" s="29" t="n">
        <v>136.64</v>
      </c>
      <c r="F153" s="30" t="n">
        <v>3.42</v>
      </c>
    </row>
    <row r="154">
      <c r="A154" t="inlineStr">
        <is>
          <t xml:space="preserve">   Maida</t>
        </is>
      </c>
      <c r="B154" t="n">
        <v>600</v>
      </c>
      <c r="C154" t="inlineStr">
        <is>
          <t>g</t>
        </is>
      </c>
      <c r="E154" s="13" t="n">
        <v>21.36</v>
      </c>
    </row>
    <row r="155">
      <c r="A155" t="inlineStr">
        <is>
          <t xml:space="preserve">   Sooji</t>
        </is>
      </c>
      <c r="B155" t="n">
        <v>400</v>
      </c>
      <c r="C155" t="inlineStr">
        <is>
          <t>g</t>
        </is>
      </c>
      <c r="E155" s="13" t="n">
        <v>14.8</v>
      </c>
    </row>
    <row r="156">
      <c r="A156" t="inlineStr">
        <is>
          <t xml:space="preserve">   Refined Oil</t>
        </is>
      </c>
      <c r="B156" t="n">
        <v>150</v>
      </c>
      <c r="C156" t="inlineStr">
        <is>
          <t>g</t>
        </is>
      </c>
      <c r="E156" s="13" t="n">
        <v>25.8</v>
      </c>
    </row>
    <row r="157">
      <c r="A157" t="inlineStr">
        <is>
          <t xml:space="preserve">   Paani</t>
        </is>
      </c>
      <c r="B157" t="n">
        <v>600</v>
      </c>
      <c r="C157" t="inlineStr">
        <is>
          <t>g</t>
        </is>
      </c>
      <c r="E157" s="13" t="n">
        <v>0</v>
      </c>
    </row>
    <row r="158">
      <c r="A158" t="inlineStr">
        <is>
          <t xml:space="preserve">   Bedai ka Masala</t>
        </is>
      </c>
      <c r="B158" t="n">
        <v>400</v>
      </c>
      <c r="C158" t="inlineStr">
        <is>
          <t>g</t>
        </is>
      </c>
      <c r="E158" s="13" t="n">
        <v>74.68000000000001</v>
      </c>
    </row>
    <row r="160">
      <c r="A160" s="23" t="inlineStr">
        <is>
          <t>Sabji wali Kachori (pc)</t>
        </is>
      </c>
      <c r="B160" s="24" t="n"/>
      <c r="C160" s="24" t="inlineStr">
        <is>
          <t>₹/pc</t>
        </is>
      </c>
      <c r="D160" s="24" t="inlineStr">
        <is>
          <t>28 pc</t>
        </is>
      </c>
      <c r="E160" s="29" t="n">
        <v>178.93</v>
      </c>
      <c r="F160" s="30" t="n">
        <v>6.39</v>
      </c>
    </row>
    <row r="161">
      <c r="A161" t="inlineStr">
        <is>
          <t xml:space="preserve">   Maida</t>
        </is>
      </c>
      <c r="B161" t="n">
        <v>1</v>
      </c>
      <c r="C161" t="inlineStr">
        <is>
          <t>kg</t>
        </is>
      </c>
      <c r="E161" s="13" t="n">
        <v>35.6</v>
      </c>
    </row>
    <row r="162">
      <c r="A162" t="inlineStr">
        <is>
          <t xml:space="preserve">   Dalda</t>
        </is>
      </c>
      <c r="B162" t="n">
        <v>300</v>
      </c>
      <c r="C162" t="inlineStr">
        <is>
          <t>g</t>
        </is>
      </c>
      <c r="E162" s="13" t="n">
        <v>44</v>
      </c>
    </row>
    <row r="163">
      <c r="A163" t="inlineStr">
        <is>
          <t xml:space="preserve">   Refined Oil</t>
        </is>
      </c>
      <c r="B163" t="n">
        <v>150</v>
      </c>
      <c r="C163" t="inlineStr">
        <is>
          <t>g</t>
        </is>
      </c>
      <c r="E163" s="13" t="n">
        <v>25.8</v>
      </c>
    </row>
    <row r="164">
      <c r="A164" t="inlineStr">
        <is>
          <t xml:space="preserve">   Safed Namak</t>
        </is>
      </c>
      <c r="B164" t="n">
        <v>25</v>
      </c>
      <c r="C164" t="inlineStr">
        <is>
          <t>g</t>
        </is>
      </c>
      <c r="E164" s="13" t="n">
        <v>0.75</v>
      </c>
    </row>
    <row r="165">
      <c r="A165" t="inlineStr">
        <is>
          <t xml:space="preserve">   Sabji wali Kachori Masala</t>
        </is>
      </c>
      <c r="B165" t="n">
        <v>700</v>
      </c>
      <c r="C165" t="inlineStr">
        <is>
          <t>g</t>
        </is>
      </c>
      <c r="E165" s="13" t="n">
        <v>72.78</v>
      </c>
    </row>
    <row r="167">
      <c r="A167" s="23" t="inlineStr">
        <is>
          <t>Dal Kachori (pc)</t>
        </is>
      </c>
      <c r="B167" s="24" t="n"/>
      <c r="C167" s="24" t="inlineStr">
        <is>
          <t>₹/pc</t>
        </is>
      </c>
      <c r="D167" s="24" t="inlineStr">
        <is>
          <t>28 pc</t>
        </is>
      </c>
      <c r="E167" s="29" t="n">
        <v>184.07</v>
      </c>
      <c r="F167" s="30" t="n">
        <v>6.57</v>
      </c>
    </row>
    <row r="168">
      <c r="A168" t="inlineStr">
        <is>
          <t xml:space="preserve">   Maida</t>
        </is>
      </c>
      <c r="B168" t="n">
        <v>1</v>
      </c>
      <c r="C168" t="inlineStr">
        <is>
          <t>kg</t>
        </is>
      </c>
      <c r="E168" s="13" t="n">
        <v>35.6</v>
      </c>
    </row>
    <row r="169">
      <c r="A169" t="inlineStr">
        <is>
          <t xml:space="preserve">   Dalda</t>
        </is>
      </c>
      <c r="B169" t="n">
        <v>300</v>
      </c>
      <c r="C169" t="inlineStr">
        <is>
          <t>g</t>
        </is>
      </c>
      <c r="E169" s="13" t="n">
        <v>44</v>
      </c>
    </row>
    <row r="170">
      <c r="A170" t="inlineStr">
        <is>
          <t xml:space="preserve">   Safed Namak</t>
        </is>
      </c>
      <c r="B170" t="n">
        <v>25</v>
      </c>
      <c r="C170" t="inlineStr">
        <is>
          <t>g</t>
        </is>
      </c>
      <c r="E170" s="13" t="n">
        <v>0.75</v>
      </c>
    </row>
    <row r="171">
      <c r="A171" t="inlineStr">
        <is>
          <t xml:space="preserve">   Dal Kachori Masala</t>
        </is>
      </c>
      <c r="B171" t="n">
        <v>700</v>
      </c>
      <c r="C171" t="inlineStr">
        <is>
          <t>g</t>
        </is>
      </c>
      <c r="E171" s="13" t="n">
        <v>77.92</v>
      </c>
    </row>
    <row r="172">
      <c r="A172" t="inlineStr">
        <is>
          <t xml:space="preserve">   Refined Oil</t>
        </is>
      </c>
      <c r="B172" t="n">
        <v>150</v>
      </c>
      <c r="C172" t="inlineStr">
        <is>
          <t>g</t>
        </is>
      </c>
      <c r="E172" s="13" t="n">
        <v>25.8</v>
      </c>
    </row>
    <row r="174">
      <c r="A174" s="23" t="inlineStr">
        <is>
          <t>Aloo Samosa (pc)</t>
        </is>
      </c>
      <c r="B174" s="24" t="n"/>
      <c r="C174" s="24" t="inlineStr">
        <is>
          <t>₹/pc</t>
        </is>
      </c>
      <c r="D174" s="24" t="inlineStr">
        <is>
          <t>100 pc</t>
        </is>
      </c>
      <c r="E174" s="29" t="n">
        <v>331.86</v>
      </c>
      <c r="F174" s="30" t="n">
        <v>3.32</v>
      </c>
    </row>
    <row r="175">
      <c r="A175" t="inlineStr">
        <is>
          <t xml:space="preserve">   Maida</t>
        </is>
      </c>
      <c r="B175" t="n">
        <v>3</v>
      </c>
      <c r="C175" t="inlineStr">
        <is>
          <t>kg</t>
        </is>
      </c>
      <c r="E175" s="13" t="n">
        <v>106.8</v>
      </c>
    </row>
    <row r="176">
      <c r="A176" t="inlineStr">
        <is>
          <t xml:space="preserve">   Safed Namak</t>
        </is>
      </c>
      <c r="B176" t="n">
        <v>75</v>
      </c>
      <c r="C176" t="inlineStr">
        <is>
          <t>g</t>
        </is>
      </c>
      <c r="E176" s="13" t="n">
        <v>2.25</v>
      </c>
    </row>
    <row r="177">
      <c r="A177" t="inlineStr">
        <is>
          <t xml:space="preserve">   Ajwaine</t>
        </is>
      </c>
      <c r="B177" t="n">
        <v>10</v>
      </c>
      <c r="C177" t="inlineStr">
        <is>
          <t>g</t>
        </is>
      </c>
      <c r="E177" s="13" t="n">
        <v>3.8</v>
      </c>
    </row>
    <row r="178">
      <c r="A178" t="inlineStr">
        <is>
          <t xml:space="preserve">   Dalda</t>
        </is>
      </c>
      <c r="B178" t="n">
        <v>600</v>
      </c>
      <c r="C178" t="inlineStr">
        <is>
          <t>g</t>
        </is>
      </c>
      <c r="E178" s="13" t="n">
        <v>88</v>
      </c>
    </row>
    <row r="179">
      <c r="A179" t="inlineStr">
        <is>
          <t xml:space="preserve">   Refined Oil</t>
        </is>
      </c>
      <c r="B179" t="n">
        <v>750</v>
      </c>
      <c r="C179" t="inlineStr">
        <is>
          <t>g</t>
        </is>
      </c>
      <c r="E179" s="13" t="n">
        <v>129</v>
      </c>
    </row>
    <row r="180">
      <c r="A180" t="inlineStr">
        <is>
          <t xml:space="preserve">   Aloo Samosa Masala</t>
        </is>
      </c>
      <c r="B180" t="n">
        <v>45</v>
      </c>
      <c r="C180" t="inlineStr">
        <is>
          <t>g</t>
        </is>
      </c>
      <c r="E180" s="13" t="n">
        <v>2.01</v>
      </c>
    </row>
    <row r="182">
      <c r="A182" s="23" t="inlineStr">
        <is>
          <t>Aloo Pyaz Samosa (pc)</t>
        </is>
      </c>
      <c r="B182" s="24" t="n"/>
      <c r="C182" s="24" t="inlineStr">
        <is>
          <t>₹/pc</t>
        </is>
      </c>
      <c r="D182" s="24" t="inlineStr">
        <is>
          <t>100 pc</t>
        </is>
      </c>
      <c r="E182" s="29" t="n">
        <v>331.8</v>
      </c>
      <c r="F182" s="30" t="n">
        <v>3.32</v>
      </c>
    </row>
    <row r="183">
      <c r="A183" t="inlineStr">
        <is>
          <t xml:space="preserve">   Maida</t>
        </is>
      </c>
      <c r="B183" t="n">
        <v>3</v>
      </c>
      <c r="C183" t="inlineStr">
        <is>
          <t>kg</t>
        </is>
      </c>
      <c r="E183" s="13" t="n">
        <v>106.8</v>
      </c>
    </row>
    <row r="184">
      <c r="A184" t="inlineStr">
        <is>
          <t xml:space="preserve">   Safed Namak</t>
        </is>
      </c>
      <c r="B184" t="n">
        <v>75</v>
      </c>
      <c r="C184" t="inlineStr">
        <is>
          <t>g</t>
        </is>
      </c>
      <c r="E184" s="13" t="n">
        <v>2.25</v>
      </c>
    </row>
    <row r="185">
      <c r="A185" t="inlineStr">
        <is>
          <t xml:space="preserve">   Ajwaine</t>
        </is>
      </c>
      <c r="B185" t="n">
        <v>10</v>
      </c>
      <c r="C185" t="inlineStr">
        <is>
          <t>g</t>
        </is>
      </c>
      <c r="E185" s="13" t="n">
        <v>3.8</v>
      </c>
    </row>
    <row r="186">
      <c r="A186" t="inlineStr">
        <is>
          <t xml:space="preserve">   Dalda</t>
        </is>
      </c>
      <c r="B186" t="n">
        <v>600</v>
      </c>
      <c r="C186" t="inlineStr">
        <is>
          <t>g</t>
        </is>
      </c>
      <c r="E186" s="13" t="n">
        <v>88</v>
      </c>
    </row>
    <row r="187">
      <c r="A187" t="inlineStr">
        <is>
          <t xml:space="preserve">   Refined Oil</t>
        </is>
      </c>
      <c r="B187" t="n">
        <v>750</v>
      </c>
      <c r="C187" t="inlineStr">
        <is>
          <t>g</t>
        </is>
      </c>
      <c r="E187" s="13" t="n">
        <v>129</v>
      </c>
    </row>
    <row r="188">
      <c r="A188" t="inlineStr">
        <is>
          <t xml:space="preserve">   Aloo Pyaz Samosa Masala</t>
        </is>
      </c>
      <c r="B188" t="n">
        <v>45</v>
      </c>
      <c r="C188" t="inlineStr">
        <is>
          <t>g</t>
        </is>
      </c>
      <c r="E188" s="13" t="n">
        <v>1.95</v>
      </c>
    </row>
    <row r="190">
      <c r="A190" s="23" t="inlineStr">
        <is>
          <t>Jodhpur Pyaz Kachori (pc)</t>
        </is>
      </c>
      <c r="B190" s="24" t="n"/>
      <c r="C190" s="24" t="inlineStr">
        <is>
          <t>₹/pc</t>
        </is>
      </c>
      <c r="D190" s="24" t="inlineStr">
        <is>
          <t>48 pc</t>
        </is>
      </c>
      <c r="E190" s="29" t="n">
        <v>318.52</v>
      </c>
      <c r="F190" s="30" t="n">
        <v>6.64</v>
      </c>
    </row>
    <row r="191">
      <c r="A191" t="inlineStr">
        <is>
          <t xml:space="preserve">   Maida</t>
        </is>
      </c>
      <c r="B191" t="n">
        <v>1.75</v>
      </c>
      <c r="C191" t="inlineStr">
        <is>
          <t>kg</t>
        </is>
      </c>
      <c r="E191" s="13" t="n">
        <v>62.3</v>
      </c>
    </row>
    <row r="192">
      <c r="A192" t="inlineStr">
        <is>
          <t xml:space="preserve">   Dalda</t>
        </is>
      </c>
      <c r="B192" t="n">
        <v>500</v>
      </c>
      <c r="C192" t="inlineStr">
        <is>
          <t>g</t>
        </is>
      </c>
      <c r="E192" s="13" t="n">
        <v>73.33</v>
      </c>
    </row>
    <row r="193">
      <c r="A193" t="inlineStr">
        <is>
          <t xml:space="preserve">   Aloo</t>
        </is>
      </c>
      <c r="B193" t="n">
        <v>1</v>
      </c>
      <c r="C193" t="inlineStr">
        <is>
          <t>kg</t>
        </is>
      </c>
      <c r="E193" s="13" t="n">
        <v>30</v>
      </c>
    </row>
    <row r="194">
      <c r="A194" t="inlineStr">
        <is>
          <t xml:space="preserve">   Safed Namak</t>
        </is>
      </c>
      <c r="B194" t="n">
        <v>59</v>
      </c>
      <c r="C194" t="inlineStr">
        <is>
          <t>g</t>
        </is>
      </c>
      <c r="E194" s="13" t="n">
        <v>1.77</v>
      </c>
    </row>
    <row r="195">
      <c r="A195" t="inlineStr">
        <is>
          <t xml:space="preserve">   Kala Namak</t>
        </is>
      </c>
      <c r="B195" t="n">
        <v>20</v>
      </c>
      <c r="C195" t="inlineStr">
        <is>
          <t>g</t>
        </is>
      </c>
      <c r="E195" s="13" t="n">
        <v>1</v>
      </c>
    </row>
    <row r="196">
      <c r="A196" t="inlineStr">
        <is>
          <t xml:space="preserve">   Dhaniya Powder</t>
        </is>
      </c>
      <c r="B196" t="n">
        <v>10</v>
      </c>
      <c r="C196" t="inlineStr">
        <is>
          <t>g</t>
        </is>
      </c>
      <c r="E196" s="13" t="n">
        <v>3.9</v>
      </c>
    </row>
    <row r="197">
      <c r="A197" t="inlineStr">
        <is>
          <t xml:space="preserve">   Kali Mirch</t>
        </is>
      </c>
      <c r="B197" t="n">
        <v>10</v>
      </c>
      <c r="C197" t="inlineStr">
        <is>
          <t>g</t>
        </is>
      </c>
      <c r="E197" s="13" t="n">
        <v>9.800000000000001</v>
      </c>
    </row>
    <row r="198">
      <c r="A198" t="inlineStr">
        <is>
          <t xml:space="preserve">   Aamchur</t>
        </is>
      </c>
      <c r="B198" t="n">
        <v>5</v>
      </c>
      <c r="C198" t="inlineStr">
        <is>
          <t>g</t>
        </is>
      </c>
      <c r="E198" s="13" t="n">
        <v>0.7</v>
      </c>
    </row>
    <row r="199">
      <c r="A199" t="inlineStr">
        <is>
          <t xml:space="preserve">   Lal Mirch</t>
        </is>
      </c>
      <c r="B199" t="n">
        <v>15</v>
      </c>
      <c r="C199" t="inlineStr">
        <is>
          <t>g</t>
        </is>
      </c>
      <c r="E199" s="13" t="n">
        <v>6.6</v>
      </c>
    </row>
    <row r="200">
      <c r="A200" t="inlineStr">
        <is>
          <t xml:space="preserve">   Kasuri Methi</t>
        </is>
      </c>
      <c r="B200" t="n">
        <v>2</v>
      </c>
      <c r="C200" t="inlineStr">
        <is>
          <t>g</t>
        </is>
      </c>
      <c r="E200" s="13" t="n">
        <v>0.5600000000000001</v>
      </c>
    </row>
    <row r="201">
      <c r="A201" t="inlineStr">
        <is>
          <t xml:space="preserve">   Refined Oil</t>
        </is>
      </c>
      <c r="B201" t="n">
        <v>600</v>
      </c>
      <c r="C201" t="inlineStr">
        <is>
          <t>g</t>
        </is>
      </c>
      <c r="E201" s="13" t="n">
        <v>103.2</v>
      </c>
    </row>
    <row r="202">
      <c r="A202" t="inlineStr">
        <is>
          <t xml:space="preserve">   Garam Masala</t>
        </is>
      </c>
      <c r="B202" t="n">
        <v>4</v>
      </c>
      <c r="C202" t="inlineStr">
        <is>
          <t>g</t>
        </is>
      </c>
      <c r="E202" s="13" t="n">
        <v>3.76</v>
      </c>
    </row>
    <row r="203">
      <c r="A203" t="inlineStr">
        <is>
          <t xml:space="preserve">   Hing ka Paani</t>
        </is>
      </c>
      <c r="B203" t="n">
        <v>10</v>
      </c>
      <c r="C203" t="inlineStr">
        <is>
          <t>g</t>
        </is>
      </c>
      <c r="E203" s="13" t="n">
        <v>3.6</v>
      </c>
    </row>
    <row r="204">
      <c r="A204" t="inlineStr">
        <is>
          <t xml:space="preserve">   Pyaz</t>
        </is>
      </c>
      <c r="B204" t="n">
        <v>1</v>
      </c>
      <c r="C204" t="inlineStr">
        <is>
          <t>kg</t>
        </is>
      </c>
      <c r="E204" s="13" t="n">
        <v>18</v>
      </c>
    </row>
    <row r="206">
      <c r="A206" s="23" t="inlineStr">
        <is>
          <t>Bhatura (pc)</t>
        </is>
      </c>
      <c r="B206" s="24" t="n"/>
      <c r="C206" s="24" t="inlineStr">
        <is>
          <t>₹/pc</t>
        </is>
      </c>
      <c r="D206" s="24" t="inlineStr">
        <is>
          <t>18 pc</t>
        </is>
      </c>
      <c r="E206" s="29" t="n">
        <v>43</v>
      </c>
      <c r="F206" s="30" t="n">
        <v>2.39</v>
      </c>
    </row>
    <row r="207">
      <c r="A207" t="inlineStr">
        <is>
          <t xml:space="preserve">   Maida</t>
        </is>
      </c>
      <c r="B207" t="n">
        <v>1</v>
      </c>
      <c r="C207" t="inlineStr">
        <is>
          <t>kg</t>
        </is>
      </c>
      <c r="E207" s="13" t="n">
        <v>35.6</v>
      </c>
    </row>
    <row r="208">
      <c r="A208" t="inlineStr">
        <is>
          <t xml:space="preserve">   Sooji</t>
        </is>
      </c>
      <c r="B208" t="n">
        <v>200</v>
      </c>
      <c r="C208" t="inlineStr">
        <is>
          <t>g</t>
        </is>
      </c>
      <c r="E208" s="13" t="n">
        <v>7.4</v>
      </c>
    </row>
    <row r="209">
      <c r="A209" t="inlineStr">
        <is>
          <t xml:space="preserve">   Paani</t>
        </is>
      </c>
      <c r="B209" t="n">
        <v>600</v>
      </c>
      <c r="C209" t="inlineStr">
        <is>
          <t>g</t>
        </is>
      </c>
      <c r="E209" s="13" t="n">
        <v>0</v>
      </c>
    </row>
    <row r="211">
      <c r="A211" s="23" t="inlineStr">
        <is>
          <t>Sooji Poori (pc)</t>
        </is>
      </c>
      <c r="B211" s="24" t="n"/>
      <c r="C211" s="24" t="inlineStr">
        <is>
          <t>₹/pc</t>
        </is>
      </c>
      <c r="D211" s="24" t="inlineStr">
        <is>
          <t>200 pc</t>
        </is>
      </c>
      <c r="E211" s="29" t="n">
        <v>398</v>
      </c>
      <c r="F211" s="30" t="n">
        <v>1.99</v>
      </c>
    </row>
    <row r="212">
      <c r="A212" t="inlineStr">
        <is>
          <t xml:space="preserve">   Sooji</t>
        </is>
      </c>
      <c r="B212" t="n">
        <v>2</v>
      </c>
      <c r="C212" t="inlineStr">
        <is>
          <t>kg</t>
        </is>
      </c>
      <c r="E212" s="13" t="n">
        <v>74</v>
      </c>
    </row>
    <row r="213">
      <c r="A213" t="inlineStr">
        <is>
          <t xml:space="preserve">   Maida</t>
        </is>
      </c>
      <c r="B213" t="n">
        <v>400</v>
      </c>
      <c r="C213" t="inlineStr">
        <is>
          <t>g</t>
        </is>
      </c>
      <c r="E213" s="13" t="n">
        <v>14.24</v>
      </c>
    </row>
    <row r="214">
      <c r="A214" t="inlineStr">
        <is>
          <t xml:space="preserve">   Refined Oil</t>
        </is>
      </c>
      <c r="B214" t="n">
        <v>1.8</v>
      </c>
      <c r="C214" t="inlineStr">
        <is>
          <t>kg</t>
        </is>
      </c>
      <c r="E214" s="13" t="n">
        <v>309.6</v>
      </c>
    </row>
    <row r="215">
      <c r="A215" t="inlineStr">
        <is>
          <t xml:space="preserve">   Paani</t>
        </is>
      </c>
      <c r="B215" t="n">
        <v>1.2</v>
      </c>
      <c r="C215" t="inlineStr">
        <is>
          <t>kg</t>
        </is>
      </c>
      <c r="E215" s="13" t="n">
        <v>0</v>
      </c>
    </row>
    <row r="216">
      <c r="A216" t="inlineStr">
        <is>
          <t xml:space="preserve">   Meetha Soda</t>
        </is>
      </c>
      <c r="B216" t="n">
        <v>2</v>
      </c>
      <c r="C216" t="inlineStr">
        <is>
          <t>g</t>
        </is>
      </c>
      <c r="E216" s="13" t="n">
        <v>0.16</v>
      </c>
    </row>
    <row r="218">
      <c r="A218" s="23" t="inlineStr">
        <is>
          <t>Raj Kachori Shell (pc)</t>
        </is>
      </c>
      <c r="B218" s="24" t="n"/>
      <c r="C218" s="24" t="inlineStr">
        <is>
          <t>₹/pc</t>
        </is>
      </c>
      <c r="D218" s="24" t="inlineStr">
        <is>
          <t>30 pc</t>
        </is>
      </c>
      <c r="E218" s="29" t="n">
        <v>23.18</v>
      </c>
      <c r="F218" s="30" t="n">
        <v>0.77</v>
      </c>
    </row>
    <row r="219">
      <c r="A219" t="inlineStr">
        <is>
          <t xml:space="preserve">   Sooji</t>
        </is>
      </c>
      <c r="B219" t="n">
        <v>200</v>
      </c>
      <c r="C219" t="inlineStr">
        <is>
          <t>g</t>
        </is>
      </c>
      <c r="E219" s="13" t="n">
        <v>7.4</v>
      </c>
    </row>
    <row r="220">
      <c r="A220" t="inlineStr">
        <is>
          <t xml:space="preserve">   Maida</t>
        </is>
      </c>
      <c r="B220" t="n">
        <v>200</v>
      </c>
      <c r="C220" t="inlineStr">
        <is>
          <t>g</t>
        </is>
      </c>
      <c r="E220" s="13" t="n">
        <v>7.12</v>
      </c>
    </row>
    <row r="221">
      <c r="A221" t="inlineStr">
        <is>
          <t xml:space="preserve">   Besan</t>
        </is>
      </c>
      <c r="B221" t="n">
        <v>100</v>
      </c>
      <c r="C221" t="inlineStr">
        <is>
          <t>g</t>
        </is>
      </c>
      <c r="E221" s="13" t="n">
        <v>8.5</v>
      </c>
    </row>
    <row r="222">
      <c r="A222" t="inlineStr">
        <is>
          <t xml:space="preserve">   Meetha Soda</t>
        </is>
      </c>
      <c r="B222" t="n">
        <v>2</v>
      </c>
      <c r="C222" t="inlineStr">
        <is>
          <t>g</t>
        </is>
      </c>
      <c r="E222" s="13" t="n">
        <v>0.16</v>
      </c>
    </row>
    <row r="224">
      <c r="A224" s="23" t="inlineStr">
        <is>
          <t>Dal Wada (pc)</t>
        </is>
      </c>
      <c r="B224" s="24" t="n"/>
      <c r="C224" s="24" t="inlineStr">
        <is>
          <t>₹/pc</t>
        </is>
      </c>
      <c r="D224" s="24" t="inlineStr">
        <is>
          <t>65 pc</t>
        </is>
      </c>
      <c r="E224" s="29" t="n">
        <v>249.63</v>
      </c>
      <c r="F224" s="30" t="n">
        <v>3.84</v>
      </c>
    </row>
    <row r="225">
      <c r="A225" t="inlineStr">
        <is>
          <t xml:space="preserve">   Urad Dal</t>
        </is>
      </c>
      <c r="B225" t="n">
        <v>1</v>
      </c>
      <c r="C225" t="inlineStr">
        <is>
          <t>kg</t>
        </is>
      </c>
      <c r="E225" s="13" t="n">
        <v>125</v>
      </c>
    </row>
    <row r="226">
      <c r="A226" t="inlineStr">
        <is>
          <t xml:space="preserve">   Baking Powder</t>
        </is>
      </c>
      <c r="B226" t="n">
        <v>15</v>
      </c>
      <c r="C226" t="inlineStr">
        <is>
          <t>g</t>
        </is>
      </c>
      <c r="E226" s="13" t="n">
        <v>1.95</v>
      </c>
    </row>
    <row r="227">
      <c r="A227" t="inlineStr">
        <is>
          <t xml:space="preserve">   Jeera</t>
        </is>
      </c>
      <c r="B227" t="n">
        <v>6</v>
      </c>
      <c r="C227" t="inlineStr">
        <is>
          <t>g</t>
        </is>
      </c>
      <c r="E227" s="13" t="n">
        <v>2.28</v>
      </c>
    </row>
    <row r="228">
      <c r="A228" t="inlineStr">
        <is>
          <t xml:space="preserve">   Refined Oil</t>
        </is>
      </c>
      <c r="B228" t="n">
        <v>700</v>
      </c>
      <c r="C228" t="inlineStr">
        <is>
          <t>g</t>
        </is>
      </c>
      <c r="E228" s="13" t="n">
        <v>120.4</v>
      </c>
    </row>
    <row r="230">
      <c r="A230" s="23" t="inlineStr">
        <is>
          <t>Chaat ka Papdi</t>
        </is>
      </c>
      <c r="B230" s="24" t="n"/>
      <c r="C230" s="24" t="inlineStr">
        <is>
          <t>₹/100g</t>
        </is>
      </c>
      <c r="D230" s="24" t="inlineStr">
        <is>
          <t>1.25 kg</t>
        </is>
      </c>
      <c r="E230" s="29" t="n">
        <v>64.43000000000001</v>
      </c>
      <c r="F230" s="30" t="n">
        <v>5.15</v>
      </c>
    </row>
    <row r="231">
      <c r="A231" t="inlineStr">
        <is>
          <t xml:space="preserve">   Maida</t>
        </is>
      </c>
      <c r="B231" t="n">
        <v>1</v>
      </c>
      <c r="C231" t="inlineStr">
        <is>
          <t>kg</t>
        </is>
      </c>
      <c r="E231" s="13" t="n">
        <v>35.6</v>
      </c>
    </row>
    <row r="232">
      <c r="A232" t="inlineStr">
        <is>
          <t xml:space="preserve">   Safed Namak</t>
        </is>
      </c>
      <c r="B232" t="n">
        <v>25</v>
      </c>
      <c r="C232" t="inlineStr">
        <is>
          <t>g</t>
        </is>
      </c>
      <c r="E232" s="13" t="n">
        <v>0.75</v>
      </c>
    </row>
    <row r="233">
      <c r="A233" t="inlineStr">
        <is>
          <t xml:space="preserve">   Ajwaine</t>
        </is>
      </c>
      <c r="B233" t="n">
        <v>6</v>
      </c>
      <c r="C233" t="inlineStr">
        <is>
          <t>g</t>
        </is>
      </c>
      <c r="E233" s="13" t="n">
        <v>2.28</v>
      </c>
    </row>
    <row r="234">
      <c r="A234" t="inlineStr">
        <is>
          <t xml:space="preserve">   Refined Oil</t>
        </is>
      </c>
      <c r="B234" t="n">
        <v>150</v>
      </c>
      <c r="C234" t="inlineStr">
        <is>
          <t>g</t>
        </is>
      </c>
      <c r="E234" s="13" t="n">
        <v>25.8</v>
      </c>
    </row>
    <row r="235">
      <c r="A235" t="inlineStr">
        <is>
          <t xml:space="preserve">   Paani</t>
        </is>
      </c>
      <c r="B235" t="n">
        <v>600</v>
      </c>
      <c r="C235" t="inlineStr">
        <is>
          <t>g</t>
        </is>
      </c>
      <c r="E235" s="13" t="n">
        <v>0</v>
      </c>
    </row>
    <row r="237">
      <c r="A237" s="23" t="inlineStr">
        <is>
          <t>Aloo Tikki (prep)</t>
        </is>
      </c>
      <c r="B237" s="24" t="n"/>
      <c r="C237" s="24" t="inlineStr">
        <is>
          <t>₹/100g</t>
        </is>
      </c>
      <c r="D237" s="24" t="inlineStr">
        <is>
          <t>2.975 kg</t>
        </is>
      </c>
      <c r="E237" s="29" t="n">
        <v>100.5</v>
      </c>
      <c r="F237" s="30" t="n">
        <v>3.38</v>
      </c>
    </row>
    <row r="238">
      <c r="A238" t="inlineStr">
        <is>
          <t xml:space="preserve">   Aloo</t>
        </is>
      </c>
      <c r="B238" t="n">
        <v>2.2</v>
      </c>
      <c r="C238" t="inlineStr">
        <is>
          <t>kg</t>
        </is>
      </c>
      <c r="E238" s="13" t="n">
        <v>66</v>
      </c>
    </row>
    <row r="239">
      <c r="A239" t="inlineStr">
        <is>
          <t xml:space="preserve">   Ararot</t>
        </is>
      </c>
      <c r="B239" t="n">
        <v>750</v>
      </c>
      <c r="C239" t="inlineStr">
        <is>
          <t>g</t>
        </is>
      </c>
      <c r="E239" s="13" t="n">
        <v>33.75</v>
      </c>
    </row>
    <row r="240">
      <c r="A240" t="inlineStr">
        <is>
          <t xml:space="preserve">   Safed Namak</t>
        </is>
      </c>
      <c r="B240" t="n">
        <v>25</v>
      </c>
      <c r="C240" t="inlineStr">
        <is>
          <t>g</t>
        </is>
      </c>
      <c r="E240" s="13" t="n">
        <v>0.75</v>
      </c>
    </row>
    <row r="242">
      <c r="A242" s="23" t="inlineStr">
        <is>
          <t>Chole (Kale)</t>
        </is>
      </c>
      <c r="B242" s="24" t="n"/>
      <c r="C242" s="24" t="inlineStr">
        <is>
          <t>₹/100g</t>
        </is>
      </c>
      <c r="D242" s="24" t="inlineStr">
        <is>
          <t>25 plate</t>
        </is>
      </c>
      <c r="E242" s="29" t="n">
        <v>410.28</v>
      </c>
      <c r="F242" s="30" t="n">
        <v>9.119999999999999</v>
      </c>
    </row>
    <row r="243">
      <c r="A243" t="inlineStr">
        <is>
          <t xml:space="preserve">   Pyaz</t>
        </is>
      </c>
      <c r="B243" t="n">
        <v>1.5</v>
      </c>
      <c r="C243" t="inlineStr">
        <is>
          <t>kg</t>
        </is>
      </c>
      <c r="E243" s="13" t="n">
        <v>27</v>
      </c>
    </row>
    <row r="244">
      <c r="A244" t="inlineStr">
        <is>
          <t xml:space="preserve">   Kabuli Chana</t>
        </is>
      </c>
      <c r="B244" t="n">
        <v>1</v>
      </c>
      <c r="C244" t="inlineStr">
        <is>
          <t>kg</t>
        </is>
      </c>
      <c r="E244" s="13" t="n">
        <v>130</v>
      </c>
    </row>
    <row r="245">
      <c r="A245" t="inlineStr">
        <is>
          <t xml:space="preserve">   Refined Oil</t>
        </is>
      </c>
      <c r="B245" t="n">
        <v>1</v>
      </c>
      <c r="C245" t="inlineStr">
        <is>
          <t>kg</t>
        </is>
      </c>
      <c r="E245" s="13" t="n">
        <v>172</v>
      </c>
    </row>
    <row r="246">
      <c r="A246" t="inlineStr">
        <is>
          <t xml:space="preserve">   Hara Mircha</t>
        </is>
      </c>
      <c r="B246" t="n">
        <v>150</v>
      </c>
      <c r="C246" t="inlineStr">
        <is>
          <t>g</t>
        </is>
      </c>
      <c r="E246" s="13" t="n">
        <v>10.5</v>
      </c>
    </row>
    <row r="247">
      <c r="A247" t="inlineStr">
        <is>
          <t xml:space="preserve">   Safed Namak</t>
        </is>
      </c>
      <c r="B247" t="n">
        <v>80</v>
      </c>
      <c r="C247" t="inlineStr">
        <is>
          <t>g</t>
        </is>
      </c>
      <c r="E247" s="13" t="n">
        <v>2.4</v>
      </c>
    </row>
    <row r="248">
      <c r="A248" t="inlineStr">
        <is>
          <t xml:space="preserve">   Lal Mirch</t>
        </is>
      </c>
      <c r="B248" t="n">
        <v>60</v>
      </c>
      <c r="C248" t="inlineStr">
        <is>
          <t>g</t>
        </is>
      </c>
      <c r="E248" s="13" t="n">
        <v>26.4</v>
      </c>
    </row>
    <row r="249">
      <c r="A249" t="inlineStr">
        <is>
          <t xml:space="preserve">   Kali Mirch</t>
        </is>
      </c>
      <c r="B249" t="n">
        <v>25</v>
      </c>
      <c r="C249" t="inlineStr">
        <is>
          <t>g</t>
        </is>
      </c>
      <c r="E249" s="13" t="n">
        <v>24.5</v>
      </c>
    </row>
    <row r="250">
      <c r="A250" t="inlineStr">
        <is>
          <t xml:space="preserve">   Dhaniya Powder</t>
        </is>
      </c>
      <c r="B250" t="n">
        <v>20</v>
      </c>
      <c r="C250" t="inlineStr">
        <is>
          <t>g</t>
        </is>
      </c>
      <c r="E250" s="13" t="n">
        <v>7.8</v>
      </c>
    </row>
    <row r="251">
      <c r="A251" t="inlineStr">
        <is>
          <t xml:space="preserve">   Kasuri Methi</t>
        </is>
      </c>
      <c r="B251" t="n">
        <v>6</v>
      </c>
      <c r="C251" t="inlineStr">
        <is>
          <t>g</t>
        </is>
      </c>
      <c r="E251" s="13" t="n">
        <v>1.68</v>
      </c>
    </row>
    <row r="252">
      <c r="A252" t="inlineStr">
        <is>
          <t xml:space="preserve">   Tamatar</t>
        </is>
      </c>
      <c r="B252" t="n">
        <v>200</v>
      </c>
      <c r="C252" t="inlineStr">
        <is>
          <t>g</t>
        </is>
      </c>
      <c r="E252" s="13" t="n">
        <v>8</v>
      </c>
    </row>
    <row r="254">
      <c r="A254" s="23" t="inlineStr">
        <is>
          <t>Dal Fry</t>
        </is>
      </c>
      <c r="B254" s="24" t="n"/>
      <c r="C254" s="24" t="inlineStr">
        <is>
          <t>₹/100g</t>
        </is>
      </c>
      <c r="D254" s="24" t="inlineStr">
        <is>
          <t>5 plate</t>
        </is>
      </c>
      <c r="E254" s="29" t="n">
        <v>91.14</v>
      </c>
      <c r="F254" s="30" t="n">
        <v>10.13</v>
      </c>
    </row>
    <row r="255">
      <c r="A255" t="inlineStr">
        <is>
          <t xml:space="preserve">   Arhar Dal</t>
        </is>
      </c>
      <c r="B255" t="n">
        <v>250</v>
      </c>
      <c r="C255" t="inlineStr">
        <is>
          <t>g</t>
        </is>
      </c>
      <c r="E255" s="13" t="n">
        <v>35</v>
      </c>
    </row>
    <row r="256">
      <c r="A256" t="inlineStr">
        <is>
          <t xml:space="preserve">   Pyaz</t>
        </is>
      </c>
      <c r="B256" t="n">
        <v>100</v>
      </c>
      <c r="C256" t="inlineStr">
        <is>
          <t>g</t>
        </is>
      </c>
      <c r="E256" s="13" t="n">
        <v>1.8</v>
      </c>
    </row>
    <row r="257">
      <c r="A257" t="inlineStr">
        <is>
          <t xml:space="preserve">   Paste</t>
        </is>
      </c>
      <c r="B257" t="n">
        <v>10</v>
      </c>
      <c r="C257" t="inlineStr">
        <is>
          <t>g</t>
        </is>
      </c>
      <c r="E257" s="13" t="n">
        <v>0.82</v>
      </c>
    </row>
    <row r="258">
      <c r="A258" t="inlineStr">
        <is>
          <t xml:space="preserve">   Lal Mirch</t>
        </is>
      </c>
      <c r="B258" t="n">
        <v>5</v>
      </c>
      <c r="C258" t="inlineStr">
        <is>
          <t>g</t>
        </is>
      </c>
      <c r="E258" s="13" t="n">
        <v>2.2</v>
      </c>
    </row>
    <row r="259">
      <c r="A259" t="inlineStr">
        <is>
          <t xml:space="preserve">   Haldi</t>
        </is>
      </c>
      <c r="B259" t="n">
        <v>5</v>
      </c>
      <c r="C259" t="inlineStr">
        <is>
          <t>g</t>
        </is>
      </c>
      <c r="E259" s="13" t="n">
        <v>2.2</v>
      </c>
    </row>
    <row r="260">
      <c r="A260" t="inlineStr">
        <is>
          <t xml:space="preserve">   Safed Namak</t>
        </is>
      </c>
      <c r="B260" t="n">
        <v>20</v>
      </c>
      <c r="C260" t="inlineStr">
        <is>
          <t>g</t>
        </is>
      </c>
      <c r="E260" s="13" t="n">
        <v>0.6</v>
      </c>
    </row>
    <row r="261">
      <c r="A261" t="inlineStr">
        <is>
          <t xml:space="preserve">   Dhaniya Powder</t>
        </is>
      </c>
      <c r="B261" t="n">
        <v>4</v>
      </c>
      <c r="C261" t="inlineStr">
        <is>
          <t>g</t>
        </is>
      </c>
      <c r="E261" s="13" t="n">
        <v>1.56</v>
      </c>
    </row>
    <row r="262">
      <c r="A262" t="inlineStr">
        <is>
          <t xml:space="preserve">   Refined Oil</t>
        </is>
      </c>
      <c r="B262" t="n">
        <v>100</v>
      </c>
      <c r="C262" t="inlineStr">
        <is>
          <t>g</t>
        </is>
      </c>
      <c r="E262" s="13" t="n">
        <v>17.2</v>
      </c>
    </row>
    <row r="263">
      <c r="A263" t="inlineStr">
        <is>
          <t xml:space="preserve">   Jeera</t>
        </is>
      </c>
      <c r="B263" t="n">
        <v>2</v>
      </c>
      <c r="C263" t="inlineStr">
        <is>
          <t>g</t>
        </is>
      </c>
      <c r="E263" s="13" t="n">
        <v>0.76</v>
      </c>
    </row>
    <row r="264">
      <c r="A264" t="inlineStr">
        <is>
          <t xml:space="preserve">   Tamatar</t>
        </is>
      </c>
      <c r="B264" t="n">
        <v>50</v>
      </c>
      <c r="C264" t="inlineStr">
        <is>
          <t>g</t>
        </is>
      </c>
      <c r="E264" s="13" t="n">
        <v>2</v>
      </c>
    </row>
    <row r="265">
      <c r="A265" t="inlineStr">
        <is>
          <t xml:space="preserve">   Butter</t>
        </is>
      </c>
      <c r="B265" t="n">
        <v>50</v>
      </c>
      <c r="C265" t="inlineStr">
        <is>
          <t>g</t>
        </is>
      </c>
      <c r="E265" s="13" t="n">
        <v>27</v>
      </c>
    </row>
    <row r="267">
      <c r="A267" s="23" t="inlineStr">
        <is>
          <t>Dal Makhni</t>
        </is>
      </c>
      <c r="B267" s="24" t="n"/>
      <c r="C267" s="24" t="inlineStr">
        <is>
          <t>₹/100g</t>
        </is>
      </c>
      <c r="D267" s="24" t="inlineStr">
        <is>
          <t>4 plate</t>
        </is>
      </c>
      <c r="E267" s="29" t="n">
        <v>85.54000000000001</v>
      </c>
      <c r="F267" s="30" t="n">
        <v>11.88</v>
      </c>
    </row>
    <row r="268">
      <c r="A268" t="inlineStr">
        <is>
          <t xml:space="preserve">   Rajma</t>
        </is>
      </c>
      <c r="B268" t="n">
        <v>50</v>
      </c>
      <c r="C268" t="inlineStr">
        <is>
          <t>g</t>
        </is>
      </c>
      <c r="E268" s="13" t="n">
        <v>7</v>
      </c>
    </row>
    <row r="269">
      <c r="A269" t="inlineStr">
        <is>
          <t xml:space="preserve">   Urad Dal</t>
        </is>
      </c>
      <c r="B269" t="n">
        <v>200</v>
      </c>
      <c r="C269" t="inlineStr">
        <is>
          <t>g</t>
        </is>
      </c>
      <c r="E269" s="13" t="n">
        <v>25</v>
      </c>
    </row>
    <row r="270">
      <c r="A270" t="inlineStr">
        <is>
          <t xml:space="preserve">   Pyaz</t>
        </is>
      </c>
      <c r="B270" t="n">
        <v>100</v>
      </c>
      <c r="C270" t="inlineStr">
        <is>
          <t>g</t>
        </is>
      </c>
      <c r="E270" s="13" t="n">
        <v>1.8</v>
      </c>
    </row>
    <row r="271">
      <c r="A271" t="inlineStr">
        <is>
          <t xml:space="preserve">   Refined Oil</t>
        </is>
      </c>
      <c r="B271" t="n">
        <v>100</v>
      </c>
      <c r="C271" t="inlineStr">
        <is>
          <t>g</t>
        </is>
      </c>
      <c r="E271" s="13" t="n">
        <v>17.2</v>
      </c>
    </row>
    <row r="272">
      <c r="A272" t="inlineStr">
        <is>
          <t xml:space="preserve">   Safed Namak</t>
        </is>
      </c>
      <c r="B272" t="n">
        <v>20</v>
      </c>
      <c r="C272" t="inlineStr">
        <is>
          <t>g</t>
        </is>
      </c>
      <c r="E272" s="13" t="n">
        <v>0.6</v>
      </c>
    </row>
    <row r="273">
      <c r="A273" t="inlineStr">
        <is>
          <t xml:space="preserve">   Lal Mirch</t>
        </is>
      </c>
      <c r="B273" t="n">
        <v>6</v>
      </c>
      <c r="C273" t="inlineStr">
        <is>
          <t>g</t>
        </is>
      </c>
      <c r="E273" s="13" t="n">
        <v>2.64</v>
      </c>
    </row>
    <row r="274">
      <c r="A274" t="inlineStr">
        <is>
          <t xml:space="preserve">   Garam Masala</t>
        </is>
      </c>
      <c r="B274" t="n">
        <v>5</v>
      </c>
      <c r="C274" t="inlineStr">
        <is>
          <t>g</t>
        </is>
      </c>
      <c r="E274" s="13" t="n">
        <v>4.7</v>
      </c>
    </row>
    <row r="275">
      <c r="A275" t="inlineStr">
        <is>
          <t xml:space="preserve">   Haldi</t>
        </is>
      </c>
      <c r="B275" t="n">
        <v>4</v>
      </c>
      <c r="C275" t="inlineStr">
        <is>
          <t>g</t>
        </is>
      </c>
      <c r="E275" s="13" t="n">
        <v>1.76</v>
      </c>
    </row>
    <row r="276">
      <c r="A276" t="inlineStr">
        <is>
          <t xml:space="preserve">   Tamatar</t>
        </is>
      </c>
      <c r="B276" t="n">
        <v>50</v>
      </c>
      <c r="C276" t="inlineStr">
        <is>
          <t>g</t>
        </is>
      </c>
      <c r="E276" s="13" t="n">
        <v>2</v>
      </c>
    </row>
    <row r="277">
      <c r="A277" t="inlineStr">
        <is>
          <t xml:space="preserve">   Paste</t>
        </is>
      </c>
      <c r="B277" t="n">
        <v>15</v>
      </c>
      <c r="C277" t="inlineStr">
        <is>
          <t>g</t>
        </is>
      </c>
      <c r="E277" s="13" t="n">
        <v>1.24</v>
      </c>
    </row>
    <row r="278">
      <c r="A278" t="inlineStr">
        <is>
          <t xml:space="preserve">   Bhais Milk</t>
        </is>
      </c>
      <c r="B278" t="n">
        <v>300</v>
      </c>
      <c r="C278" t="inlineStr">
        <is>
          <t>g</t>
        </is>
      </c>
      <c r="E278" s="13" t="n">
        <v>21.6</v>
      </c>
    </row>
    <row r="280">
      <c r="A280" s="23" t="inlineStr">
        <is>
          <t>Rajma</t>
        </is>
      </c>
      <c r="B280" s="24" t="n"/>
      <c r="C280" s="24" t="inlineStr">
        <is>
          <t>₹/100g</t>
        </is>
      </c>
      <c r="D280" s="24" t="inlineStr">
        <is>
          <t>4 plate</t>
        </is>
      </c>
      <c r="E280" s="29" t="n">
        <v>69.03</v>
      </c>
      <c r="F280" s="30" t="n">
        <v>9.59</v>
      </c>
    </row>
    <row r="281">
      <c r="A281" t="inlineStr">
        <is>
          <t xml:space="preserve">   Rajma</t>
        </is>
      </c>
      <c r="B281" t="n">
        <v>200</v>
      </c>
      <c r="C281" t="inlineStr">
        <is>
          <t>g</t>
        </is>
      </c>
      <c r="E281" s="13" t="n">
        <v>28</v>
      </c>
    </row>
    <row r="282">
      <c r="A282" t="inlineStr">
        <is>
          <t xml:space="preserve">   Pyaz</t>
        </is>
      </c>
      <c r="B282" t="n">
        <v>100</v>
      </c>
      <c r="C282" t="inlineStr">
        <is>
          <t>g</t>
        </is>
      </c>
      <c r="E282" s="13" t="n">
        <v>1.8</v>
      </c>
    </row>
    <row r="283">
      <c r="A283" t="inlineStr">
        <is>
          <t xml:space="preserve">   Paste</t>
        </is>
      </c>
      <c r="B283" t="n">
        <v>15</v>
      </c>
      <c r="C283" t="inlineStr">
        <is>
          <t>g</t>
        </is>
      </c>
      <c r="E283" s="13" t="n">
        <v>1.24</v>
      </c>
    </row>
    <row r="284">
      <c r="A284" t="inlineStr">
        <is>
          <t xml:space="preserve">   Refined Oil</t>
        </is>
      </c>
      <c r="B284" t="n">
        <v>100</v>
      </c>
      <c r="C284" t="inlineStr">
        <is>
          <t>g</t>
        </is>
      </c>
      <c r="E284" s="13" t="n">
        <v>17.2</v>
      </c>
    </row>
    <row r="285">
      <c r="A285" t="inlineStr">
        <is>
          <t xml:space="preserve">   Lal Mirch</t>
        </is>
      </c>
      <c r="B285" t="n">
        <v>8</v>
      </c>
      <c r="C285" t="inlineStr">
        <is>
          <t>g</t>
        </is>
      </c>
      <c r="E285" s="13" t="n">
        <v>3.52</v>
      </c>
    </row>
    <row r="286">
      <c r="A286" t="inlineStr">
        <is>
          <t xml:space="preserve">   Haldi</t>
        </is>
      </c>
      <c r="B286" t="n">
        <v>4</v>
      </c>
      <c r="C286" t="inlineStr">
        <is>
          <t>g</t>
        </is>
      </c>
      <c r="E286" s="13" t="n">
        <v>1.76</v>
      </c>
    </row>
    <row r="287">
      <c r="A287" t="inlineStr">
        <is>
          <t xml:space="preserve">   Safed Namak</t>
        </is>
      </c>
      <c r="B287" t="n">
        <v>20</v>
      </c>
      <c r="C287" t="inlineStr">
        <is>
          <t>g</t>
        </is>
      </c>
      <c r="E287" s="13" t="n">
        <v>0.6</v>
      </c>
    </row>
    <row r="288">
      <c r="A288" t="inlineStr">
        <is>
          <t xml:space="preserve">   Dhaniya Powder</t>
        </is>
      </c>
      <c r="B288" t="n">
        <v>5</v>
      </c>
      <c r="C288" t="inlineStr">
        <is>
          <t>g</t>
        </is>
      </c>
      <c r="E288" s="13" t="n">
        <v>1.95</v>
      </c>
    </row>
    <row r="289">
      <c r="A289" t="inlineStr">
        <is>
          <t xml:space="preserve">   Garam Masala</t>
        </is>
      </c>
      <c r="B289" t="n">
        <v>5</v>
      </c>
      <c r="C289" t="inlineStr">
        <is>
          <t>g</t>
        </is>
      </c>
      <c r="E289" s="13" t="n">
        <v>4.7</v>
      </c>
    </row>
    <row r="290">
      <c r="A290" t="inlineStr">
        <is>
          <t xml:space="preserve">   Kasuri Methi</t>
        </is>
      </c>
      <c r="B290" t="n">
        <v>2</v>
      </c>
      <c r="C290" t="inlineStr">
        <is>
          <t>g</t>
        </is>
      </c>
      <c r="E290" s="13" t="n">
        <v>0.5600000000000001</v>
      </c>
    </row>
    <row r="291">
      <c r="A291" t="inlineStr">
        <is>
          <t xml:space="preserve">   Jeera</t>
        </is>
      </c>
      <c r="B291" t="n">
        <v>15</v>
      </c>
      <c r="C291" t="inlineStr">
        <is>
          <t>g</t>
        </is>
      </c>
      <c r="E291" s="13" t="n">
        <v>5.7</v>
      </c>
    </row>
    <row r="292">
      <c r="A292" t="inlineStr">
        <is>
          <t xml:space="preserve">   Tamatar</t>
        </is>
      </c>
      <c r="B292" t="n">
        <v>50</v>
      </c>
      <c r="C292" t="inlineStr">
        <is>
          <t>g</t>
        </is>
      </c>
      <c r="E292" s="13" t="n">
        <v>2</v>
      </c>
    </row>
    <row r="294">
      <c r="A294" s="23" t="inlineStr">
        <is>
          <t>Kadhi Pakora</t>
        </is>
      </c>
      <c r="B294" s="24" t="n"/>
      <c r="C294" s="24" t="inlineStr">
        <is>
          <t>₹/100g</t>
        </is>
      </c>
      <c r="D294" s="24" t="inlineStr">
        <is>
          <t>8 plate</t>
        </is>
      </c>
      <c r="E294" s="29" t="n">
        <v>50.75</v>
      </c>
      <c r="F294" s="30" t="n">
        <v>3.52</v>
      </c>
    </row>
    <row r="295">
      <c r="A295" t="inlineStr">
        <is>
          <t xml:space="preserve">   Dahi</t>
        </is>
      </c>
      <c r="B295" t="n">
        <v>400</v>
      </c>
      <c r="C295" t="inlineStr">
        <is>
          <t>g</t>
        </is>
      </c>
      <c r="E295" s="13" t="n">
        <v>24.8</v>
      </c>
    </row>
    <row r="296">
      <c r="A296" t="inlineStr">
        <is>
          <t xml:space="preserve">   Besan</t>
        </is>
      </c>
      <c r="B296" t="n">
        <v>150</v>
      </c>
      <c r="C296" t="inlineStr">
        <is>
          <t>g</t>
        </is>
      </c>
      <c r="E296" s="13" t="n">
        <v>12.75</v>
      </c>
    </row>
    <row r="297">
      <c r="A297" t="inlineStr">
        <is>
          <t xml:space="preserve">   Safed Namak</t>
        </is>
      </c>
      <c r="B297" t="n">
        <v>25</v>
      </c>
      <c r="C297" t="inlineStr">
        <is>
          <t>g</t>
        </is>
      </c>
      <c r="E297" s="13" t="n">
        <v>0.75</v>
      </c>
    </row>
    <row r="298">
      <c r="A298" t="inlineStr">
        <is>
          <t xml:space="preserve">   Paste</t>
        </is>
      </c>
      <c r="B298" t="n">
        <v>15</v>
      </c>
      <c r="C298" t="inlineStr">
        <is>
          <t>g</t>
        </is>
      </c>
      <c r="E298" s="13" t="n">
        <v>1.24</v>
      </c>
    </row>
    <row r="299">
      <c r="A299" t="inlineStr">
        <is>
          <t xml:space="preserve">   Haldi</t>
        </is>
      </c>
      <c r="B299" t="n">
        <v>6</v>
      </c>
      <c r="C299" t="inlineStr">
        <is>
          <t>g</t>
        </is>
      </c>
      <c r="E299" s="13" t="n">
        <v>2.64</v>
      </c>
    </row>
    <row r="300">
      <c r="A300" t="inlineStr">
        <is>
          <t xml:space="preserve">   Lal Mirch</t>
        </is>
      </c>
      <c r="B300" t="n">
        <v>12</v>
      </c>
      <c r="C300" t="inlineStr">
        <is>
          <t>g</t>
        </is>
      </c>
      <c r="E300" s="13" t="n">
        <v>5.28</v>
      </c>
    </row>
    <row r="301">
      <c r="A301" t="inlineStr">
        <is>
          <t xml:space="preserve">   Kasuri Methi</t>
        </is>
      </c>
      <c r="B301" t="n">
        <v>3</v>
      </c>
      <c r="C301" t="inlineStr">
        <is>
          <t>g</t>
        </is>
      </c>
      <c r="E301" s="13" t="n">
        <v>0.84</v>
      </c>
    </row>
    <row r="302">
      <c r="A302" t="inlineStr">
        <is>
          <t xml:space="preserve">   Dhaniya Powder</t>
        </is>
      </c>
      <c r="B302" t="n">
        <v>5</v>
      </c>
      <c r="C302" t="inlineStr">
        <is>
          <t>g</t>
        </is>
      </c>
      <c r="E302" s="13" t="n">
        <v>1.95</v>
      </c>
    </row>
    <row r="303">
      <c r="A303" t="inlineStr">
        <is>
          <t xml:space="preserve">   Lahsun</t>
        </is>
      </c>
      <c r="B303" t="n">
        <v>5</v>
      </c>
      <c r="C303" t="inlineStr">
        <is>
          <t>g</t>
        </is>
      </c>
      <c r="E303" s="13" t="n">
        <v>0.5</v>
      </c>
    </row>
    <row r="305">
      <c r="A305" s="23" t="inlineStr">
        <is>
          <t>Masala Puri (pc)</t>
        </is>
      </c>
      <c r="B305" s="24" t="n"/>
      <c r="C305" s="24" t="inlineStr">
        <is>
          <t>₹/pc</t>
        </is>
      </c>
      <c r="D305" s="24" t="inlineStr">
        <is>
          <t>40 pc</t>
        </is>
      </c>
      <c r="E305" s="29" t="n">
        <v>42.06</v>
      </c>
      <c r="F305" s="30" t="n">
        <v>1.05</v>
      </c>
    </row>
    <row r="306">
      <c r="A306" t="inlineStr">
        <is>
          <t xml:space="preserve">   Atta</t>
        </is>
      </c>
      <c r="B306" t="n">
        <v>1</v>
      </c>
      <c r="C306" t="inlineStr">
        <is>
          <t>kg</t>
        </is>
      </c>
      <c r="E306" s="13" t="n">
        <v>40</v>
      </c>
    </row>
    <row r="307">
      <c r="A307" t="inlineStr">
        <is>
          <t xml:space="preserve">   Haldi</t>
        </is>
      </c>
      <c r="B307" t="n">
        <v>4</v>
      </c>
      <c r="C307" t="inlineStr">
        <is>
          <t>g</t>
        </is>
      </c>
      <c r="E307" s="13" t="n">
        <v>1.76</v>
      </c>
    </row>
    <row r="308">
      <c r="A308" t="inlineStr">
        <is>
          <t xml:space="preserve">   Safed Namak</t>
        </is>
      </c>
      <c r="B308" t="n">
        <v>10</v>
      </c>
      <c r="C308" t="inlineStr">
        <is>
          <t>g</t>
        </is>
      </c>
      <c r="E308" s="13" t="n">
        <v>0.3</v>
      </c>
    </row>
    <row r="309">
      <c r="A309" t="inlineStr">
        <is>
          <t xml:space="preserve">   Paani</t>
        </is>
      </c>
      <c r="B309" t="n">
        <v>600</v>
      </c>
      <c r="C309" t="inlineStr">
        <is>
          <t>g</t>
        </is>
      </c>
      <c r="E309" s="13" t="n">
        <v>0</v>
      </c>
    </row>
    <row r="311">
      <c r="A311" s="23" t="inlineStr">
        <is>
          <t>Masala Puri Sabji</t>
        </is>
      </c>
      <c r="B311" s="24" t="n"/>
      <c r="C311" s="24" t="inlineStr">
        <is>
          <t>₹/100g</t>
        </is>
      </c>
      <c r="D311" s="24" t="inlineStr">
        <is>
          <t>10 plate</t>
        </is>
      </c>
      <c r="E311" s="29" t="n">
        <v>68.39</v>
      </c>
      <c r="F311" s="30" t="n">
        <v>3.8</v>
      </c>
    </row>
    <row r="312">
      <c r="A312" t="inlineStr">
        <is>
          <t xml:space="preserve">   Haldi</t>
        </is>
      </c>
      <c r="B312" t="n">
        <v>6</v>
      </c>
      <c r="C312" t="inlineStr">
        <is>
          <t>g</t>
        </is>
      </c>
      <c r="E312" s="13" t="n">
        <v>2.64</v>
      </c>
    </row>
    <row r="313">
      <c r="A313" t="inlineStr">
        <is>
          <t xml:space="preserve">   Jeera</t>
        </is>
      </c>
      <c r="B313" t="n">
        <v>4</v>
      </c>
      <c r="C313" t="inlineStr">
        <is>
          <t>g</t>
        </is>
      </c>
      <c r="E313" s="13" t="n">
        <v>1.52</v>
      </c>
    </row>
    <row r="314">
      <c r="A314" t="inlineStr">
        <is>
          <t xml:space="preserve">   Aloo</t>
        </is>
      </c>
      <c r="B314" t="n">
        <v>1</v>
      </c>
      <c r="C314" t="inlineStr">
        <is>
          <t>kg</t>
        </is>
      </c>
      <c r="E314" s="13" t="n">
        <v>30</v>
      </c>
    </row>
    <row r="315">
      <c r="A315" t="inlineStr">
        <is>
          <t xml:space="preserve">   Refined Oil</t>
        </is>
      </c>
      <c r="B315" t="n">
        <v>100</v>
      </c>
      <c r="C315" t="inlineStr">
        <is>
          <t>g</t>
        </is>
      </c>
      <c r="E315" s="13" t="n">
        <v>17.2</v>
      </c>
    </row>
    <row r="316">
      <c r="A316" t="inlineStr">
        <is>
          <t xml:space="preserve">   Safed Namak</t>
        </is>
      </c>
      <c r="B316" t="n">
        <v>25</v>
      </c>
      <c r="C316" t="inlineStr">
        <is>
          <t>g</t>
        </is>
      </c>
      <c r="E316" s="13" t="n">
        <v>0.75</v>
      </c>
    </row>
    <row r="317">
      <c r="A317" t="inlineStr">
        <is>
          <t xml:space="preserve">   Lal Mirch</t>
        </is>
      </c>
      <c r="B317" t="n">
        <v>15</v>
      </c>
      <c r="C317" t="inlineStr">
        <is>
          <t>g</t>
        </is>
      </c>
      <c r="E317" s="13" t="n">
        <v>6.6</v>
      </c>
    </row>
    <row r="318">
      <c r="A318" t="inlineStr">
        <is>
          <t xml:space="preserve">   Tamatar</t>
        </is>
      </c>
      <c r="B318" t="n">
        <v>150</v>
      </c>
      <c r="C318" t="inlineStr">
        <is>
          <t>g</t>
        </is>
      </c>
      <c r="E318" s="13" t="n">
        <v>6</v>
      </c>
    </row>
    <row r="319">
      <c r="A319" t="inlineStr">
        <is>
          <t xml:space="preserve">   Dhaniya Powder</t>
        </is>
      </c>
      <c r="B319" t="n">
        <v>8</v>
      </c>
      <c r="C319" t="inlineStr">
        <is>
          <t>g</t>
        </is>
      </c>
      <c r="E319" s="13" t="n">
        <v>3.12</v>
      </c>
    </row>
    <row r="320">
      <c r="A320" t="inlineStr">
        <is>
          <t xml:space="preserve">   Kasuri Methi</t>
        </is>
      </c>
      <c r="B320" t="n">
        <v>2</v>
      </c>
      <c r="C320" t="inlineStr">
        <is>
          <t>g</t>
        </is>
      </c>
      <c r="E320" s="13" t="n">
        <v>0.5600000000000001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0" customWidth="1" min="4" max="4"/>
    <col width="10" customWidth="1" min="5" max="5"/>
    <col width="20" customWidth="1" min="6" max="6"/>
    <col width="18" customWidth="1" min="7" max="7"/>
  </cols>
  <sheetData>
    <row r="1">
      <c r="A1" s="12" t="inlineStr">
        <is>
          <t>Ingredient</t>
        </is>
      </c>
      <c r="B1" s="12" t="inlineStr">
        <is>
          <t>Purchase Pack</t>
        </is>
      </c>
      <c r="C1" s="12" t="inlineStr">
        <is>
          <t>Pack Price (₹)</t>
        </is>
      </c>
      <c r="D1" s="12" t="inlineStr">
        <is>
          <t>Base Qty</t>
        </is>
      </c>
      <c r="E1" s="12" t="inlineStr">
        <is>
          <t>Base Unit</t>
        </is>
      </c>
      <c r="F1" s="12" t="inlineStr">
        <is>
          <t>Cost / Base Unit (₹)</t>
        </is>
      </c>
      <c r="G1" s="12" t="inlineStr">
        <is>
          <t>Cost per kg/L (₹)</t>
        </is>
      </c>
    </row>
    <row r="2">
      <c r="A2" s="31" t="inlineStr">
        <is>
          <t>Shakkar</t>
        </is>
      </c>
      <c r="B2" s="15" t="inlineStr">
        <is>
          <t>1 kg</t>
        </is>
      </c>
      <c r="C2" s="32" t="n">
        <v>42.6</v>
      </c>
      <c r="D2" s="15" t="n">
        <v>1000</v>
      </c>
      <c r="E2" s="15" t="inlineStr">
        <is>
          <t>g</t>
        </is>
      </c>
      <c r="F2" s="44">
        <f>C2/D2</f>
        <v/>
      </c>
      <c r="G2" s="16">
        <f>F2*1000</f>
        <v/>
      </c>
    </row>
    <row r="3">
      <c r="A3" s="31" t="inlineStr">
        <is>
          <t>Maida</t>
        </is>
      </c>
      <c r="B3" s="15" t="inlineStr">
        <is>
          <t>1 kg</t>
        </is>
      </c>
      <c r="C3" s="32" t="n">
        <v>35.6</v>
      </c>
      <c r="D3" s="15" t="n">
        <v>1000</v>
      </c>
      <c r="E3" s="15" t="inlineStr">
        <is>
          <t>g</t>
        </is>
      </c>
      <c r="F3" s="44">
        <f>C3/D3</f>
        <v/>
      </c>
      <c r="G3" s="16">
        <f>F3*1000</f>
        <v/>
      </c>
    </row>
    <row r="4">
      <c r="A4" s="31" t="inlineStr">
        <is>
          <t>Besan</t>
        </is>
      </c>
      <c r="B4" s="15" t="inlineStr">
        <is>
          <t>1 kg</t>
        </is>
      </c>
      <c r="C4" s="32" t="n">
        <v>85</v>
      </c>
      <c r="D4" s="15" t="n">
        <v>1000</v>
      </c>
      <c r="E4" s="15" t="inlineStr">
        <is>
          <t>g</t>
        </is>
      </c>
      <c r="F4" s="44">
        <f>C4/D4</f>
        <v/>
      </c>
      <c r="G4" s="16">
        <f>F4*1000</f>
        <v/>
      </c>
    </row>
    <row r="5">
      <c r="A5" s="31" t="inlineStr">
        <is>
          <t>Mota Besan</t>
        </is>
      </c>
      <c r="B5" s="15" t="inlineStr">
        <is>
          <t>1 kg</t>
        </is>
      </c>
      <c r="C5" s="32" t="n">
        <v>120</v>
      </c>
      <c r="D5" s="15" t="n">
        <v>1000</v>
      </c>
      <c r="E5" s="15" t="inlineStr">
        <is>
          <t>g</t>
        </is>
      </c>
      <c r="F5" s="44">
        <f>C5/D5</f>
        <v/>
      </c>
      <c r="G5" s="16">
        <f>F5*1000</f>
        <v/>
      </c>
    </row>
    <row r="6">
      <c r="A6" s="31" t="inlineStr">
        <is>
          <t>Sooji</t>
        </is>
      </c>
      <c r="B6" s="15" t="inlineStr">
        <is>
          <t>1 kg</t>
        </is>
      </c>
      <c r="C6" s="32" t="n">
        <v>37</v>
      </c>
      <c r="D6" s="15" t="n">
        <v>1000</v>
      </c>
      <c r="E6" s="15" t="inlineStr">
        <is>
          <t>g</t>
        </is>
      </c>
      <c r="F6" s="44">
        <f>C6/D6</f>
        <v/>
      </c>
      <c r="G6" s="16">
        <f>F6*1000</f>
        <v/>
      </c>
    </row>
    <row r="7">
      <c r="A7" s="31" t="inlineStr">
        <is>
          <t>Atta</t>
        </is>
      </c>
      <c r="B7" s="15" t="inlineStr">
        <is>
          <t>1 kg</t>
        </is>
      </c>
      <c r="C7" s="32" t="n">
        <v>40</v>
      </c>
      <c r="D7" s="15" t="n">
        <v>1000</v>
      </c>
      <c r="E7" s="15" t="inlineStr">
        <is>
          <t>g</t>
        </is>
      </c>
      <c r="F7" s="44">
        <f>C7/D7</f>
        <v/>
      </c>
      <c r="G7" s="16">
        <f>F7*1000</f>
        <v/>
      </c>
    </row>
    <row r="8">
      <c r="A8" s="31" t="inlineStr">
        <is>
          <t>Refined Oil</t>
        </is>
      </c>
      <c r="B8" s="15" t="inlineStr">
        <is>
          <t>1 kg</t>
        </is>
      </c>
      <c r="C8" s="32" t="n">
        <v>172</v>
      </c>
      <c r="D8" s="15" t="n">
        <v>1000</v>
      </c>
      <c r="E8" s="15" t="inlineStr">
        <is>
          <t>g</t>
        </is>
      </c>
      <c r="F8" s="44">
        <f>C8/D8</f>
        <v/>
      </c>
      <c r="G8" s="16">
        <f>F8*1000</f>
        <v/>
      </c>
    </row>
    <row r="9">
      <c r="A9" s="31" t="inlineStr">
        <is>
          <t>Sarso ka Tel</t>
        </is>
      </c>
      <c r="B9" s="15" t="inlineStr">
        <is>
          <t>1 kg</t>
        </is>
      </c>
      <c r="C9" s="32" t="n">
        <v>180</v>
      </c>
      <c r="D9" s="15" t="n">
        <v>1000</v>
      </c>
      <c r="E9" s="15" t="inlineStr">
        <is>
          <t>g</t>
        </is>
      </c>
      <c r="F9" s="44">
        <f>C9/D9</f>
        <v/>
      </c>
      <c r="G9" s="16">
        <f>F9*1000</f>
        <v/>
      </c>
    </row>
    <row r="10">
      <c r="A10" s="31" t="inlineStr">
        <is>
          <t>Kala Namak</t>
        </is>
      </c>
      <c r="B10" s="15" t="inlineStr">
        <is>
          <t>1 kg</t>
        </is>
      </c>
      <c r="C10" s="32" t="n">
        <v>50</v>
      </c>
      <c r="D10" s="15" t="n">
        <v>1000</v>
      </c>
      <c r="E10" s="15" t="inlineStr">
        <is>
          <t>g</t>
        </is>
      </c>
      <c r="F10" s="44">
        <f>C10/D10</f>
        <v/>
      </c>
      <c r="G10" s="16">
        <f>F10*1000</f>
        <v/>
      </c>
    </row>
    <row r="11">
      <c r="A11" s="31" t="inlineStr">
        <is>
          <t>Safed Namak</t>
        </is>
      </c>
      <c r="B11" s="15" t="inlineStr">
        <is>
          <t>1 kg</t>
        </is>
      </c>
      <c r="C11" s="32" t="n">
        <v>30</v>
      </c>
      <c r="D11" s="15" t="n">
        <v>1000</v>
      </c>
      <c r="E11" s="15" t="inlineStr">
        <is>
          <t>g</t>
        </is>
      </c>
      <c r="F11" s="44">
        <f>C11/D11</f>
        <v/>
      </c>
      <c r="G11" s="16">
        <f>F11*1000</f>
        <v/>
      </c>
    </row>
    <row r="12">
      <c r="A12" s="31" t="inlineStr">
        <is>
          <t>Sendha Namak</t>
        </is>
      </c>
      <c r="B12" s="15" t="inlineStr">
        <is>
          <t>1 kg</t>
        </is>
      </c>
      <c r="C12" s="32" t="n">
        <v>100</v>
      </c>
      <c r="D12" s="15" t="n">
        <v>1000</v>
      </c>
      <c r="E12" s="15" t="inlineStr">
        <is>
          <t>g</t>
        </is>
      </c>
      <c r="F12" s="44">
        <f>C12/D12</f>
        <v/>
      </c>
      <c r="G12" s="16">
        <f>F12*1000</f>
        <v/>
      </c>
    </row>
    <row r="13">
      <c r="A13" s="31" t="inlineStr">
        <is>
          <t>Moong Dal</t>
        </is>
      </c>
      <c r="B13" s="15" t="inlineStr">
        <is>
          <t>1 kg</t>
        </is>
      </c>
      <c r="C13" s="32" t="n">
        <v>120</v>
      </c>
      <c r="D13" s="15" t="n">
        <v>1000</v>
      </c>
      <c r="E13" s="15" t="inlineStr">
        <is>
          <t>g</t>
        </is>
      </c>
      <c r="F13" s="44">
        <f>C13/D13</f>
        <v/>
      </c>
      <c r="G13" s="16">
        <f>F13*1000</f>
        <v/>
      </c>
    </row>
    <row r="14">
      <c r="A14" s="31" t="inlineStr">
        <is>
          <t>Arhar Dal</t>
        </is>
      </c>
      <c r="B14" s="15" t="inlineStr">
        <is>
          <t>1 kg</t>
        </is>
      </c>
      <c r="C14" s="32" t="n">
        <v>140</v>
      </c>
      <c r="D14" s="15" t="n">
        <v>1000</v>
      </c>
      <c r="E14" s="15" t="inlineStr">
        <is>
          <t>g</t>
        </is>
      </c>
      <c r="F14" s="44">
        <f>C14/D14</f>
        <v/>
      </c>
      <c r="G14" s="16">
        <f>F14*1000</f>
        <v/>
      </c>
    </row>
    <row r="15">
      <c r="A15" s="31" t="inlineStr">
        <is>
          <t>Rajma</t>
        </is>
      </c>
      <c r="B15" s="15" t="inlineStr">
        <is>
          <t>1 kg</t>
        </is>
      </c>
      <c r="C15" s="32" t="n">
        <v>140</v>
      </c>
      <c r="D15" s="15" t="n">
        <v>1000</v>
      </c>
      <c r="E15" s="15" t="inlineStr">
        <is>
          <t>g</t>
        </is>
      </c>
      <c r="F15" s="44">
        <f>C15/D15</f>
        <v/>
      </c>
      <c r="G15" s="16">
        <f>F15*1000</f>
        <v/>
      </c>
    </row>
    <row r="16">
      <c r="A16" s="31" t="inlineStr">
        <is>
          <t>Urad Dal</t>
        </is>
      </c>
      <c r="B16" s="15" t="inlineStr">
        <is>
          <t>1 kg</t>
        </is>
      </c>
      <c r="C16" s="32" t="n">
        <v>125</v>
      </c>
      <c r="D16" s="15" t="n">
        <v>1000</v>
      </c>
      <c r="E16" s="15" t="inlineStr">
        <is>
          <t>g</t>
        </is>
      </c>
      <c r="F16" s="44">
        <f>C16/D16</f>
        <v/>
      </c>
      <c r="G16" s="16">
        <f>F16*1000</f>
        <v/>
      </c>
    </row>
    <row r="17">
      <c r="A17" s="31" t="inlineStr">
        <is>
          <t>Kabuli Chana</t>
        </is>
      </c>
      <c r="B17" s="15" t="inlineStr">
        <is>
          <t>1 kg</t>
        </is>
      </c>
      <c r="C17" s="32" t="n">
        <v>130</v>
      </c>
      <c r="D17" s="15" t="n">
        <v>1000</v>
      </c>
      <c r="E17" s="15" t="inlineStr">
        <is>
          <t>g</t>
        </is>
      </c>
      <c r="F17" s="44">
        <f>C17/D17</f>
        <v/>
      </c>
      <c r="G17" s="16">
        <f>F17*1000</f>
        <v/>
      </c>
    </row>
    <row r="18">
      <c r="A18" s="31" t="inlineStr">
        <is>
          <t>Kala Chana</t>
        </is>
      </c>
      <c r="B18" s="15" t="inlineStr">
        <is>
          <t>1 kg</t>
        </is>
      </c>
      <c r="C18" s="32" t="n">
        <v>80</v>
      </c>
      <c r="D18" s="15" t="n">
        <v>1000</v>
      </c>
      <c r="E18" s="15" t="inlineStr">
        <is>
          <t>g</t>
        </is>
      </c>
      <c r="F18" s="44">
        <f>C18/D18</f>
        <v/>
      </c>
      <c r="G18" s="16">
        <f>F18*1000</f>
        <v/>
      </c>
    </row>
    <row r="19">
      <c r="A19" s="31" t="inlineStr">
        <is>
          <t>Chana Dal</t>
        </is>
      </c>
      <c r="B19" s="15" t="inlineStr">
        <is>
          <t>1 kg</t>
        </is>
      </c>
      <c r="C19" s="32" t="n">
        <v>95</v>
      </c>
      <c r="D19" s="15" t="n">
        <v>1000</v>
      </c>
      <c r="E19" s="15" t="inlineStr">
        <is>
          <t>g</t>
        </is>
      </c>
      <c r="F19" s="44">
        <f>C19/D19</f>
        <v/>
      </c>
      <c r="G19" s="16">
        <f>F19*1000</f>
        <v/>
      </c>
    </row>
    <row r="20">
      <c r="A20" s="31" t="inlineStr">
        <is>
          <t>Lal Mirch</t>
        </is>
      </c>
      <c r="B20" s="15" t="inlineStr">
        <is>
          <t>1 kg</t>
        </is>
      </c>
      <c r="C20" s="32" t="n">
        <v>440</v>
      </c>
      <c r="D20" s="15" t="n">
        <v>1000</v>
      </c>
      <c r="E20" s="15" t="inlineStr">
        <is>
          <t>g</t>
        </is>
      </c>
      <c r="F20" s="44">
        <f>C20/D20</f>
        <v/>
      </c>
      <c r="G20" s="16">
        <f>F20*1000</f>
        <v/>
      </c>
    </row>
    <row r="21">
      <c r="A21" s="31" t="inlineStr">
        <is>
          <t>Kali Mirch</t>
        </is>
      </c>
      <c r="B21" s="15" t="inlineStr">
        <is>
          <t>1 kg</t>
        </is>
      </c>
      <c r="C21" s="32" t="n">
        <v>980</v>
      </c>
      <c r="D21" s="15" t="n">
        <v>1000</v>
      </c>
      <c r="E21" s="15" t="inlineStr">
        <is>
          <t>g</t>
        </is>
      </c>
      <c r="F21" s="44">
        <f>C21/D21</f>
        <v/>
      </c>
      <c r="G21" s="16">
        <f>F21*1000</f>
        <v/>
      </c>
    </row>
    <row r="22">
      <c r="A22" s="31" t="inlineStr">
        <is>
          <t>Jeera</t>
        </is>
      </c>
      <c r="B22" s="15" t="inlineStr">
        <is>
          <t>1 kg</t>
        </is>
      </c>
      <c r="C22" s="32" t="n">
        <v>380</v>
      </c>
      <c r="D22" s="15" t="n">
        <v>1000</v>
      </c>
      <c r="E22" s="15" t="inlineStr">
        <is>
          <t>g</t>
        </is>
      </c>
      <c r="F22" s="44">
        <f>C22/D22</f>
        <v/>
      </c>
      <c r="G22" s="16">
        <f>F22*1000</f>
        <v/>
      </c>
    </row>
    <row r="23">
      <c r="A23" s="31" t="inlineStr">
        <is>
          <t>Sabut Dhaniya</t>
        </is>
      </c>
      <c r="B23" s="15" t="inlineStr">
        <is>
          <t>1 kg</t>
        </is>
      </c>
      <c r="C23" s="32" t="n">
        <v>220</v>
      </c>
      <c r="D23" s="15" t="n">
        <v>1000</v>
      </c>
      <c r="E23" s="15" t="inlineStr">
        <is>
          <t>g</t>
        </is>
      </c>
      <c r="F23" s="44">
        <f>C23/D23</f>
        <v/>
      </c>
      <c r="G23" s="16">
        <f>F23*1000</f>
        <v/>
      </c>
    </row>
    <row r="24">
      <c r="A24" s="31" t="inlineStr">
        <is>
          <t>Dhaniya Powder</t>
        </is>
      </c>
      <c r="B24" s="15" t="inlineStr">
        <is>
          <t>1 kg</t>
        </is>
      </c>
      <c r="C24" s="32" t="n">
        <v>390</v>
      </c>
      <c r="D24" s="15" t="n">
        <v>1000</v>
      </c>
      <c r="E24" s="15" t="inlineStr">
        <is>
          <t>g</t>
        </is>
      </c>
      <c r="F24" s="44">
        <f>C24/D24</f>
        <v/>
      </c>
      <c r="G24" s="16">
        <f>F24*1000</f>
        <v/>
      </c>
    </row>
    <row r="25">
      <c r="A25" s="31" t="inlineStr">
        <is>
          <t>Haldi Powder</t>
        </is>
      </c>
      <c r="B25" s="15" t="inlineStr">
        <is>
          <t>1 kg</t>
        </is>
      </c>
      <c r="C25" s="32" t="n">
        <v>440</v>
      </c>
      <c r="D25" s="15" t="n">
        <v>1000</v>
      </c>
      <c r="E25" s="15" t="inlineStr">
        <is>
          <t>g</t>
        </is>
      </c>
      <c r="F25" s="44">
        <f>C25/D25</f>
        <v/>
      </c>
      <c r="G25" s="16">
        <f>F25*1000</f>
        <v/>
      </c>
    </row>
    <row r="26">
      <c r="A26" s="31" t="inlineStr">
        <is>
          <t>Garam Masala</t>
        </is>
      </c>
      <c r="B26" s="15" t="inlineStr">
        <is>
          <t>500 g</t>
        </is>
      </c>
      <c r="C26" s="32" t="n">
        <v>470</v>
      </c>
      <c r="D26" s="15" t="n">
        <v>500</v>
      </c>
      <c r="E26" s="15" t="inlineStr">
        <is>
          <t>g</t>
        </is>
      </c>
      <c r="F26" s="44">
        <f>C26/D26</f>
        <v/>
      </c>
      <c r="G26" s="16">
        <f>F26*1000</f>
        <v/>
      </c>
    </row>
    <row r="27">
      <c r="A27" s="31" t="inlineStr">
        <is>
          <t>Aamchur</t>
        </is>
      </c>
      <c r="B27" s="15" t="inlineStr">
        <is>
          <t>1 kg</t>
        </is>
      </c>
      <c r="C27" s="32" t="n">
        <v>140</v>
      </c>
      <c r="D27" s="15" t="n">
        <v>1000</v>
      </c>
      <c r="E27" s="15" t="inlineStr">
        <is>
          <t>g</t>
        </is>
      </c>
      <c r="F27" s="44">
        <f>C27/D27</f>
        <v/>
      </c>
      <c r="G27" s="16">
        <f>F27*1000</f>
        <v/>
      </c>
    </row>
    <row r="28">
      <c r="A28" s="31" t="inlineStr">
        <is>
          <t>Kasuri Methi</t>
        </is>
      </c>
      <c r="B28" s="15" t="inlineStr">
        <is>
          <t>1 kg</t>
        </is>
      </c>
      <c r="C28" s="32" t="n">
        <v>280</v>
      </c>
      <c r="D28" s="15" t="n">
        <v>1000</v>
      </c>
      <c r="E28" s="15" t="inlineStr">
        <is>
          <t>g</t>
        </is>
      </c>
      <c r="F28" s="44">
        <f>C28/D28</f>
        <v/>
      </c>
      <c r="G28" s="16">
        <f>F28*1000</f>
        <v/>
      </c>
    </row>
    <row r="29">
      <c r="A29" s="31" t="inlineStr">
        <is>
          <t>Ajwaine</t>
        </is>
      </c>
      <c r="B29" s="15" t="inlineStr">
        <is>
          <t>1 kg</t>
        </is>
      </c>
      <c r="C29" s="32" t="n">
        <v>380</v>
      </c>
      <c r="D29" s="15" t="n">
        <v>1000</v>
      </c>
      <c r="E29" s="15" t="inlineStr">
        <is>
          <t>g</t>
        </is>
      </c>
      <c r="F29" s="44">
        <f>C29/D29</f>
        <v/>
      </c>
      <c r="G29" s="16">
        <f>F29*1000</f>
        <v/>
      </c>
    </row>
    <row r="30">
      <c r="A30" s="31" t="inlineStr">
        <is>
          <t>Sauf</t>
        </is>
      </c>
      <c r="B30" s="15" t="inlineStr">
        <is>
          <t>1 kg</t>
        </is>
      </c>
      <c r="C30" s="32" t="n">
        <v>260</v>
      </c>
      <c r="D30" s="15" t="n">
        <v>1000</v>
      </c>
      <c r="E30" s="15" t="inlineStr">
        <is>
          <t>g</t>
        </is>
      </c>
      <c r="F30" s="44">
        <f>C30/D30</f>
        <v/>
      </c>
      <c r="G30" s="16">
        <f>F30*1000</f>
        <v/>
      </c>
    </row>
    <row r="31">
      <c r="A31" s="31" t="inlineStr">
        <is>
          <t>Saunth Powder</t>
        </is>
      </c>
      <c r="B31" s="15" t="inlineStr">
        <is>
          <t>1 kg</t>
        </is>
      </c>
      <c r="C31" s="32" t="n">
        <v>300</v>
      </c>
      <c r="D31" s="15" t="n">
        <v>1000</v>
      </c>
      <c r="E31" s="15" t="inlineStr">
        <is>
          <t>g</t>
        </is>
      </c>
      <c r="F31" s="44">
        <f>C31/D31</f>
        <v/>
      </c>
      <c r="G31" s="16">
        <f>F31*1000</f>
        <v/>
      </c>
    </row>
    <row r="32">
      <c r="A32" s="31" t="inlineStr">
        <is>
          <t>Meetha Soda</t>
        </is>
      </c>
      <c r="B32" s="15" t="inlineStr">
        <is>
          <t>1 kg</t>
        </is>
      </c>
      <c r="C32" s="32" t="n">
        <v>80</v>
      </c>
      <c r="D32" s="15" t="n">
        <v>1000</v>
      </c>
      <c r="E32" s="15" t="inlineStr">
        <is>
          <t>g</t>
        </is>
      </c>
      <c r="F32" s="44">
        <f>C32/D32</f>
        <v/>
      </c>
      <c r="G32" s="16">
        <f>F32*1000</f>
        <v/>
      </c>
    </row>
    <row r="33">
      <c r="A33" s="31" t="inlineStr">
        <is>
          <t>Baking Powder</t>
        </is>
      </c>
      <c r="B33" s="15" t="inlineStr">
        <is>
          <t>1 kg</t>
        </is>
      </c>
      <c r="C33" s="32" t="n">
        <v>130</v>
      </c>
      <c r="D33" s="15" t="n">
        <v>1000</v>
      </c>
      <c r="E33" s="15" t="inlineStr">
        <is>
          <t>g</t>
        </is>
      </c>
      <c r="F33" s="44">
        <f>C33/D33</f>
        <v/>
      </c>
      <c r="G33" s="16">
        <f>F33*1000</f>
        <v/>
      </c>
    </row>
    <row r="34">
      <c r="A34" s="31" t="inlineStr">
        <is>
          <t>Heeng</t>
        </is>
      </c>
      <c r="B34" s="15" t="inlineStr">
        <is>
          <t>1 kg</t>
        </is>
      </c>
      <c r="C34" s="32" t="n">
        <v>30000</v>
      </c>
      <c r="D34" s="15" t="n">
        <v>1000</v>
      </c>
      <c r="E34" s="15" t="inlineStr">
        <is>
          <t>g</t>
        </is>
      </c>
      <c r="F34" s="44">
        <f>C34/D34</f>
        <v/>
      </c>
      <c r="G34" s="16">
        <f>F34*1000</f>
        <v/>
      </c>
    </row>
    <row r="35">
      <c r="A35" s="31" t="inlineStr">
        <is>
          <t>Nimbu Satv (Satri)</t>
        </is>
      </c>
      <c r="B35" s="15" t="inlineStr">
        <is>
          <t>1 kg</t>
        </is>
      </c>
      <c r="C35" s="32" t="n">
        <v>190</v>
      </c>
      <c r="D35" s="15" t="n">
        <v>1000</v>
      </c>
      <c r="E35" s="15" t="inlineStr">
        <is>
          <t>g</t>
        </is>
      </c>
      <c r="F35" s="44">
        <f>C35/D35</f>
        <v/>
      </c>
      <c r="G35" s="16">
        <f>F35*1000</f>
        <v/>
      </c>
    </row>
    <row r="36">
      <c r="A36" s="31" t="inlineStr">
        <is>
          <t>Gud</t>
        </is>
      </c>
      <c r="B36" s="15" t="inlineStr">
        <is>
          <t>1 kg</t>
        </is>
      </c>
      <c r="C36" s="32" t="n">
        <v>70</v>
      </c>
      <c r="D36" s="15" t="n">
        <v>1000</v>
      </c>
      <c r="E36" s="15" t="inlineStr">
        <is>
          <t>g</t>
        </is>
      </c>
      <c r="F36" s="44">
        <f>C36/D36</f>
        <v/>
      </c>
      <c r="G36" s="16">
        <f>F36*1000</f>
        <v/>
      </c>
    </row>
    <row r="37">
      <c r="A37" s="31" t="inlineStr">
        <is>
          <t>Karara (Shakkar Bura)</t>
        </is>
      </c>
      <c r="B37" s="15" t="inlineStr">
        <is>
          <t>1 kg</t>
        </is>
      </c>
      <c r="C37" s="32" t="n">
        <v>100</v>
      </c>
      <c r="D37" s="15" t="n">
        <v>1000</v>
      </c>
      <c r="E37" s="15" t="inlineStr">
        <is>
          <t>g</t>
        </is>
      </c>
      <c r="F37" s="44">
        <f>C37/D37</f>
        <v/>
      </c>
      <c r="G37" s="16">
        <f>F37*1000</f>
        <v/>
      </c>
    </row>
    <row r="38">
      <c r="A38" s="31" t="inlineStr">
        <is>
          <t>Chawal</t>
        </is>
      </c>
      <c r="B38" s="15" t="inlineStr">
        <is>
          <t>1 kg</t>
        </is>
      </c>
      <c r="C38" s="32" t="n">
        <v>75</v>
      </c>
      <c r="D38" s="15" t="n">
        <v>1000</v>
      </c>
      <c r="E38" s="15" t="inlineStr">
        <is>
          <t>g</t>
        </is>
      </c>
      <c r="F38" s="44">
        <f>C38/D38</f>
        <v/>
      </c>
      <c r="G38" s="16">
        <f>F38*1000</f>
        <v/>
      </c>
    </row>
    <row r="39">
      <c r="A39" s="31" t="inlineStr">
        <is>
          <t>Singhada Atta</t>
        </is>
      </c>
      <c r="B39" s="15" t="inlineStr">
        <is>
          <t>1 kg</t>
        </is>
      </c>
      <c r="C39" s="32" t="n">
        <v>180</v>
      </c>
      <c r="D39" s="15" t="n">
        <v>1000</v>
      </c>
      <c r="E39" s="15" t="inlineStr">
        <is>
          <t>g</t>
        </is>
      </c>
      <c r="F39" s="44">
        <f>C39/D39</f>
        <v/>
      </c>
      <c r="G39" s="16">
        <f>F39*1000</f>
        <v/>
      </c>
    </row>
    <row r="40">
      <c r="A40" s="31" t="inlineStr">
        <is>
          <t>Dalda</t>
        </is>
      </c>
      <c r="B40" s="15" t="inlineStr">
        <is>
          <t>15 kg</t>
        </is>
      </c>
      <c r="C40" s="32" t="n">
        <v>2200</v>
      </c>
      <c r="D40" s="15" t="n">
        <v>15000</v>
      </c>
      <c r="E40" s="15" t="inlineStr">
        <is>
          <t>g</t>
        </is>
      </c>
      <c r="F40" s="44">
        <f>C40/D40</f>
        <v/>
      </c>
      <c r="G40" s="16">
        <f>F40*1000</f>
        <v/>
      </c>
    </row>
    <row r="41">
      <c r="A41" s="31" t="inlineStr">
        <is>
          <t>Ararot</t>
        </is>
      </c>
      <c r="B41" s="15" t="inlineStr">
        <is>
          <t>1 kg</t>
        </is>
      </c>
      <c r="C41" s="32" t="n">
        <v>45</v>
      </c>
      <c r="D41" s="15" t="n">
        <v>1000</v>
      </c>
      <c r="E41" s="15" t="inlineStr">
        <is>
          <t>g</t>
        </is>
      </c>
      <c r="F41" s="44">
        <f>C41/D41</f>
        <v/>
      </c>
      <c r="G41" s="16">
        <f>F41*1000</f>
        <v/>
      </c>
    </row>
    <row r="42">
      <c r="A42" s="31" t="inlineStr">
        <is>
          <t>Elaichi</t>
        </is>
      </c>
      <c r="B42" s="15" t="inlineStr">
        <is>
          <t>1 kg</t>
        </is>
      </c>
      <c r="C42" s="32" t="n">
        <v>3200</v>
      </c>
      <c r="D42" s="15" t="n">
        <v>1000</v>
      </c>
      <c r="E42" s="15" t="inlineStr">
        <is>
          <t>g</t>
        </is>
      </c>
      <c r="F42" s="44">
        <f>C42/D42</f>
        <v/>
      </c>
      <c r="G42" s="16">
        <f>F42*1000</f>
        <v/>
      </c>
    </row>
    <row r="43">
      <c r="A43" s="31" t="inlineStr">
        <is>
          <t>Laung</t>
        </is>
      </c>
      <c r="B43" s="15" t="inlineStr">
        <is>
          <t>1 kg</t>
        </is>
      </c>
      <c r="C43" s="32" t="n">
        <v>1020</v>
      </c>
      <c r="D43" s="15" t="n">
        <v>1000</v>
      </c>
      <c r="E43" s="15" t="inlineStr">
        <is>
          <t>g</t>
        </is>
      </c>
      <c r="F43" s="44">
        <f>C43/D43</f>
        <v/>
      </c>
      <c r="G43" s="16">
        <f>F43*1000</f>
        <v/>
      </c>
    </row>
    <row r="44">
      <c r="A44" s="31" t="inlineStr">
        <is>
          <t>Jaifal</t>
        </is>
      </c>
      <c r="B44" s="15" t="inlineStr">
        <is>
          <t>1 kg</t>
        </is>
      </c>
      <c r="C44" s="32" t="n">
        <v>920</v>
      </c>
      <c r="D44" s="15" t="n">
        <v>1000</v>
      </c>
      <c r="E44" s="15" t="inlineStr">
        <is>
          <t>g</t>
        </is>
      </c>
      <c r="F44" s="44">
        <f>C44/D44</f>
        <v/>
      </c>
      <c r="G44" s="16">
        <f>F44*1000</f>
        <v/>
      </c>
    </row>
    <row r="45">
      <c r="A45" s="31" t="inlineStr">
        <is>
          <t>Kesar</t>
        </is>
      </c>
      <c r="B45" s="15" t="inlineStr">
        <is>
          <t>1 g</t>
        </is>
      </c>
      <c r="C45" s="32" t="n">
        <v>380</v>
      </c>
      <c r="D45" s="15" t="n">
        <v>1</v>
      </c>
      <c r="E45" s="15" t="inlineStr">
        <is>
          <t>g</t>
        </is>
      </c>
      <c r="F45" s="44">
        <f>C45/D45</f>
        <v/>
      </c>
      <c r="G45" s="16">
        <f>F45*1000</f>
        <v/>
      </c>
    </row>
    <row r="46">
      <c r="A46" s="31" t="inlineStr">
        <is>
          <t>Kaju Tukda</t>
        </is>
      </c>
      <c r="B46" s="15" t="inlineStr">
        <is>
          <t>1 kg</t>
        </is>
      </c>
      <c r="C46" s="32" t="n">
        <v>820</v>
      </c>
      <c r="D46" s="15" t="n">
        <v>1000</v>
      </c>
      <c r="E46" s="15" t="inlineStr">
        <is>
          <t>g</t>
        </is>
      </c>
      <c r="F46" s="44">
        <f>C46/D46</f>
        <v/>
      </c>
      <c r="G46" s="16">
        <f>F46*1000</f>
        <v/>
      </c>
    </row>
    <row r="47">
      <c r="A47" s="31" t="inlineStr">
        <is>
          <t>Sabut Kaju</t>
        </is>
      </c>
      <c r="B47" s="15" t="inlineStr">
        <is>
          <t>1 kg</t>
        </is>
      </c>
      <c r="C47" s="32" t="n">
        <v>1200</v>
      </c>
      <c r="D47" s="15" t="n">
        <v>1000</v>
      </c>
      <c r="E47" s="15" t="inlineStr">
        <is>
          <t>g</t>
        </is>
      </c>
      <c r="F47" s="44">
        <f>C47/D47</f>
        <v/>
      </c>
      <c r="G47" s="16">
        <f>F47*1000</f>
        <v/>
      </c>
    </row>
    <row r="48">
      <c r="A48" s="31" t="inlineStr">
        <is>
          <t>Badaam</t>
        </is>
      </c>
      <c r="B48" s="15" t="inlineStr">
        <is>
          <t>1 kg</t>
        </is>
      </c>
      <c r="C48" s="32" t="n">
        <v>750</v>
      </c>
      <c r="D48" s="15" t="n">
        <v>1000</v>
      </c>
      <c r="E48" s="15" t="inlineStr">
        <is>
          <t>g</t>
        </is>
      </c>
      <c r="F48" s="44">
        <f>C48/D48</f>
        <v/>
      </c>
      <c r="G48" s="16">
        <f>F48*1000</f>
        <v/>
      </c>
    </row>
    <row r="49">
      <c r="A49" s="31" t="inlineStr">
        <is>
          <t>Pista</t>
        </is>
      </c>
      <c r="B49" s="15" t="inlineStr">
        <is>
          <t>1 kg</t>
        </is>
      </c>
      <c r="C49" s="32" t="n">
        <v>2700</v>
      </c>
      <c r="D49" s="15" t="n">
        <v>1000</v>
      </c>
      <c r="E49" s="15" t="inlineStr">
        <is>
          <t>g</t>
        </is>
      </c>
      <c r="F49" s="44">
        <f>C49/D49</f>
        <v/>
      </c>
      <c r="G49" s="16">
        <f>F49*1000</f>
        <v/>
      </c>
    </row>
    <row r="50">
      <c r="A50" s="31" t="inlineStr">
        <is>
          <t>Coconut Powder</t>
        </is>
      </c>
      <c r="B50" s="15" t="inlineStr">
        <is>
          <t>1 kg</t>
        </is>
      </c>
      <c r="C50" s="32" t="n">
        <v>300</v>
      </c>
      <c r="D50" s="15" t="n">
        <v>1000</v>
      </c>
      <c r="E50" s="15" t="inlineStr">
        <is>
          <t>g</t>
        </is>
      </c>
      <c r="F50" s="44">
        <f>C50/D50</f>
        <v/>
      </c>
      <c r="G50" s="16">
        <f>F50*1000</f>
        <v/>
      </c>
    </row>
    <row r="51">
      <c r="A51" s="31" t="inlineStr">
        <is>
          <t>Vanila</t>
        </is>
      </c>
      <c r="B51" s="15" t="inlineStr">
        <is>
          <t>1 kg</t>
        </is>
      </c>
      <c r="C51" s="32" t="n">
        <v>300</v>
      </c>
      <c r="D51" s="15" t="n">
        <v>1000</v>
      </c>
      <c r="E51" s="15" t="inlineStr">
        <is>
          <t>g</t>
        </is>
      </c>
      <c r="F51" s="44">
        <f>C51/D51</f>
        <v/>
      </c>
      <c r="G51" s="16">
        <f>F51*1000</f>
        <v/>
      </c>
    </row>
    <row r="52">
      <c r="A52" s="31" t="inlineStr">
        <is>
          <t>Aloo</t>
        </is>
      </c>
      <c r="B52" s="15" t="inlineStr">
        <is>
          <t>1 kg</t>
        </is>
      </c>
      <c r="C52" s="32" t="n">
        <v>30</v>
      </c>
      <c r="D52" s="15" t="n">
        <v>1000</v>
      </c>
      <c r="E52" s="15" t="inlineStr">
        <is>
          <t>g</t>
        </is>
      </c>
      <c r="F52" s="44">
        <f>C52/D52</f>
        <v/>
      </c>
      <c r="G52" s="16">
        <f>F52*1000</f>
        <v/>
      </c>
    </row>
    <row r="53">
      <c r="A53" s="31" t="inlineStr">
        <is>
          <t>Pyaz</t>
        </is>
      </c>
      <c r="B53" s="15" t="inlineStr">
        <is>
          <t>1 kg</t>
        </is>
      </c>
      <c r="C53" s="32" t="n">
        <v>18</v>
      </c>
      <c r="D53" s="15" t="n">
        <v>1000</v>
      </c>
      <c r="E53" s="15" t="inlineStr">
        <is>
          <t>g</t>
        </is>
      </c>
      <c r="F53" s="44">
        <f>C53/D53</f>
        <v/>
      </c>
      <c r="G53" s="16">
        <f>F53*1000</f>
        <v/>
      </c>
    </row>
    <row r="54">
      <c r="A54" s="31" t="inlineStr">
        <is>
          <t>Tamatar</t>
        </is>
      </c>
      <c r="B54" s="15" t="inlineStr">
        <is>
          <t>1 kg</t>
        </is>
      </c>
      <c r="C54" s="32" t="n">
        <v>40</v>
      </c>
      <c r="D54" s="15" t="n">
        <v>1000</v>
      </c>
      <c r="E54" s="15" t="inlineStr">
        <is>
          <t>g</t>
        </is>
      </c>
      <c r="F54" s="44">
        <f>C54/D54</f>
        <v/>
      </c>
      <c r="G54" s="16">
        <f>F54*1000</f>
        <v/>
      </c>
    </row>
    <row r="55">
      <c r="A55" s="31" t="inlineStr">
        <is>
          <t>Hara Mircha</t>
        </is>
      </c>
      <c r="B55" s="15" t="inlineStr">
        <is>
          <t>1 kg</t>
        </is>
      </c>
      <c r="C55" s="32" t="n">
        <v>70</v>
      </c>
      <c r="D55" s="15" t="n">
        <v>1000</v>
      </c>
      <c r="E55" s="15" t="inlineStr">
        <is>
          <t>g</t>
        </is>
      </c>
      <c r="F55" s="44">
        <f>C55/D55</f>
        <v/>
      </c>
      <c r="G55" s="16">
        <f>F55*1000</f>
        <v/>
      </c>
    </row>
    <row r="56">
      <c r="A56" s="31" t="inlineStr">
        <is>
          <t>Hara Dhaniya</t>
        </is>
      </c>
      <c r="B56" s="15" t="inlineStr">
        <is>
          <t>1 kg</t>
        </is>
      </c>
      <c r="C56" s="32" t="n">
        <v>80</v>
      </c>
      <c r="D56" s="15" t="n">
        <v>1000</v>
      </c>
      <c r="E56" s="15" t="inlineStr">
        <is>
          <t>g</t>
        </is>
      </c>
      <c r="F56" s="44">
        <f>C56/D56</f>
        <v/>
      </c>
      <c r="G56" s="16">
        <f>F56*1000</f>
        <v/>
      </c>
    </row>
    <row r="57">
      <c r="A57" s="31" t="inlineStr">
        <is>
          <t>Pudina</t>
        </is>
      </c>
      <c r="B57" s="15" t="inlineStr">
        <is>
          <t>1 kg</t>
        </is>
      </c>
      <c r="C57" s="32" t="n">
        <v>56</v>
      </c>
      <c r="D57" s="15" t="n">
        <v>1000</v>
      </c>
      <c r="E57" s="15" t="inlineStr">
        <is>
          <t>g</t>
        </is>
      </c>
      <c r="F57" s="44">
        <f>C57/D57</f>
        <v/>
      </c>
      <c r="G57" s="16">
        <f>F57*1000</f>
        <v/>
      </c>
    </row>
    <row r="58">
      <c r="A58" s="31" t="inlineStr">
        <is>
          <t>Palak</t>
        </is>
      </c>
      <c r="B58" s="15" t="inlineStr">
        <is>
          <t>1 kg</t>
        </is>
      </c>
      <c r="C58" s="32" t="n">
        <v>70</v>
      </c>
      <c r="D58" s="15" t="n">
        <v>1000</v>
      </c>
      <c r="E58" s="15" t="inlineStr">
        <is>
          <t>g</t>
        </is>
      </c>
      <c r="F58" s="44">
        <f>C58/D58</f>
        <v/>
      </c>
      <c r="G58" s="16">
        <f>F58*1000</f>
        <v/>
      </c>
    </row>
    <row r="59">
      <c r="A59" s="31" t="inlineStr">
        <is>
          <t>Nimbu</t>
        </is>
      </c>
      <c r="B59" s="15" t="inlineStr">
        <is>
          <t>1 kg</t>
        </is>
      </c>
      <c r="C59" s="32" t="n">
        <v>80</v>
      </c>
      <c r="D59" s="15" t="n">
        <v>1000</v>
      </c>
      <c r="E59" s="15" t="inlineStr">
        <is>
          <t>g</t>
        </is>
      </c>
      <c r="F59" s="44">
        <f>C59/D59</f>
        <v/>
      </c>
      <c r="G59" s="16">
        <f>F59*1000</f>
        <v/>
      </c>
    </row>
    <row r="60">
      <c r="A60" s="31" t="inlineStr">
        <is>
          <t>Lahsun</t>
        </is>
      </c>
      <c r="B60" s="15" t="inlineStr">
        <is>
          <t>1 kg</t>
        </is>
      </c>
      <c r="C60" s="32" t="n">
        <v>100</v>
      </c>
      <c r="D60" s="15" t="n">
        <v>1000</v>
      </c>
      <c r="E60" s="15" t="inlineStr">
        <is>
          <t>g</t>
        </is>
      </c>
      <c r="F60" s="44">
        <f>C60/D60</f>
        <v/>
      </c>
      <c r="G60" s="16">
        <f>F60*1000</f>
        <v/>
      </c>
    </row>
    <row r="61">
      <c r="A61" s="31" t="inlineStr">
        <is>
          <t>Adrak</t>
        </is>
      </c>
      <c r="B61" s="15" t="inlineStr">
        <is>
          <t>1 kg</t>
        </is>
      </c>
      <c r="C61" s="32" t="n">
        <v>80</v>
      </c>
      <c r="D61" s="15" t="n">
        <v>1000</v>
      </c>
      <c r="E61" s="15" t="inlineStr">
        <is>
          <t>g</t>
        </is>
      </c>
      <c r="F61" s="44">
        <f>C61/D61</f>
        <v/>
      </c>
      <c r="G61" s="16">
        <f>F61*1000</f>
        <v/>
      </c>
    </row>
    <row r="62">
      <c r="A62" s="31" t="inlineStr">
        <is>
          <t>Bada Wala Mircha</t>
        </is>
      </c>
      <c r="B62" s="15" t="inlineStr">
        <is>
          <t>1 kg</t>
        </is>
      </c>
      <c r="C62" s="32" t="n">
        <v>80</v>
      </c>
      <c r="D62" s="15" t="n">
        <v>1000</v>
      </c>
      <c r="E62" s="15" t="inlineStr">
        <is>
          <t>g</t>
        </is>
      </c>
      <c r="F62" s="44">
        <f>C62/D62</f>
        <v/>
      </c>
      <c r="G62" s="16">
        <f>F62*1000</f>
        <v/>
      </c>
    </row>
    <row r="63">
      <c r="A63" s="31" t="inlineStr">
        <is>
          <t>Gajar</t>
        </is>
      </c>
      <c r="B63" s="15" t="inlineStr">
        <is>
          <t>1 kg</t>
        </is>
      </c>
      <c r="C63" s="32" t="n">
        <v>60</v>
      </c>
      <c r="D63" s="15" t="n">
        <v>1000</v>
      </c>
      <c r="E63" s="15" t="inlineStr">
        <is>
          <t>g</t>
        </is>
      </c>
      <c r="F63" s="44">
        <f>C63/D63</f>
        <v/>
      </c>
      <c r="G63" s="16">
        <f>F63*1000</f>
        <v/>
      </c>
    </row>
    <row r="64">
      <c r="A64" s="31" t="inlineStr">
        <is>
          <t>Gobhi</t>
        </is>
      </c>
      <c r="B64" s="15" t="inlineStr">
        <is>
          <t>1 kg</t>
        </is>
      </c>
      <c r="C64" s="32" t="n">
        <v>50</v>
      </c>
      <c r="D64" s="15" t="n">
        <v>1000</v>
      </c>
      <c r="E64" s="15" t="inlineStr">
        <is>
          <t>g</t>
        </is>
      </c>
      <c r="F64" s="44">
        <f>C64/D64</f>
        <v/>
      </c>
      <c r="G64" s="16">
        <f>F64*1000</f>
        <v/>
      </c>
    </row>
    <row r="65">
      <c r="A65" s="31" t="inlineStr">
        <is>
          <t>Shimla Mirch</t>
        </is>
      </c>
      <c r="B65" s="15" t="inlineStr">
        <is>
          <t>1 kg</t>
        </is>
      </c>
      <c r="C65" s="32" t="n">
        <v>60</v>
      </c>
      <c r="D65" s="15" t="n">
        <v>1000</v>
      </c>
      <c r="E65" s="15" t="inlineStr">
        <is>
          <t>g</t>
        </is>
      </c>
      <c r="F65" s="44">
        <f>C65/D65</f>
        <v/>
      </c>
      <c r="G65" s="16">
        <f>F65*1000</f>
        <v/>
      </c>
    </row>
    <row r="66">
      <c r="A66" s="31" t="inlineStr">
        <is>
          <t>Hara Matar</t>
        </is>
      </c>
      <c r="B66" s="15" t="inlineStr">
        <is>
          <t>1 kg</t>
        </is>
      </c>
      <c r="C66" s="32" t="n">
        <v>80</v>
      </c>
      <c r="D66" s="15" t="n">
        <v>1000</v>
      </c>
      <c r="E66" s="15" t="inlineStr">
        <is>
          <t>g</t>
        </is>
      </c>
      <c r="F66" s="44">
        <f>C66/D66</f>
        <v/>
      </c>
      <c r="G66" s="16">
        <f>F66*1000</f>
        <v/>
      </c>
    </row>
    <row r="67">
      <c r="A67" s="31" t="inlineStr">
        <is>
          <t>Safed Matar</t>
        </is>
      </c>
      <c r="B67" s="15" t="inlineStr">
        <is>
          <t>1 kg</t>
        </is>
      </c>
      <c r="C67" s="32" t="n">
        <v>75</v>
      </c>
      <c r="D67" s="15" t="n">
        <v>1000</v>
      </c>
      <c r="E67" s="15" t="inlineStr">
        <is>
          <t>g</t>
        </is>
      </c>
      <c r="F67" s="44">
        <f>C67/D67</f>
        <v/>
      </c>
      <c r="G67" s="16">
        <f>F67*1000</f>
        <v/>
      </c>
    </row>
    <row r="68">
      <c r="A68" s="31" t="inlineStr">
        <is>
          <t>Imli</t>
        </is>
      </c>
      <c r="B68" s="15" t="inlineStr">
        <is>
          <t>1 kg</t>
        </is>
      </c>
      <c r="C68" s="32" t="n">
        <v>60</v>
      </c>
      <c r="D68" s="15" t="n">
        <v>1000</v>
      </c>
      <c r="E68" s="15" t="inlineStr">
        <is>
          <t>g</t>
        </is>
      </c>
      <c r="F68" s="44">
        <f>C68/D68</f>
        <v/>
      </c>
      <c r="G68" s="16">
        <f>F68*1000</f>
        <v/>
      </c>
    </row>
    <row r="69">
      <c r="A69" s="31" t="inlineStr">
        <is>
          <t>Achar</t>
        </is>
      </c>
      <c r="B69" s="15" t="inlineStr">
        <is>
          <t>5 kg</t>
        </is>
      </c>
      <c r="C69" s="32" t="n">
        <v>280</v>
      </c>
      <c r="D69" s="15" t="n">
        <v>5000</v>
      </c>
      <c r="E69" s="15" t="inlineStr">
        <is>
          <t>g</t>
        </is>
      </c>
      <c r="F69" s="44">
        <f>C69/D69</f>
        <v/>
      </c>
      <c r="G69" s="16">
        <f>F69*1000</f>
        <v/>
      </c>
    </row>
    <row r="70">
      <c r="A70" s="31" t="inlineStr">
        <is>
          <t>Cow Milk</t>
        </is>
      </c>
      <c r="B70" s="15" t="inlineStr">
        <is>
          <t>1 L</t>
        </is>
      </c>
      <c r="C70" s="32" t="n">
        <v>55</v>
      </c>
      <c r="D70" s="15" t="n">
        <v>1000</v>
      </c>
      <c r="E70" s="15" t="inlineStr">
        <is>
          <t>ml</t>
        </is>
      </c>
      <c r="F70" s="44">
        <f>C70/D70</f>
        <v/>
      </c>
      <c r="G70" s="16">
        <f>F70*1000</f>
        <v/>
      </c>
    </row>
    <row r="71">
      <c r="A71" s="31" t="inlineStr">
        <is>
          <t>Bhais Milk</t>
        </is>
      </c>
      <c r="B71" s="15" t="inlineStr">
        <is>
          <t>1 L</t>
        </is>
      </c>
      <c r="C71" s="32" t="n">
        <v>72</v>
      </c>
      <c r="D71" s="15" t="n">
        <v>1000</v>
      </c>
      <c r="E71" s="15" t="inlineStr">
        <is>
          <t>ml</t>
        </is>
      </c>
      <c r="F71" s="44">
        <f>C71/D71</f>
        <v/>
      </c>
      <c r="G71" s="16">
        <f>F71*1000</f>
        <v/>
      </c>
    </row>
    <row r="72">
      <c r="A72" s="31" t="inlineStr">
        <is>
          <t>Dahi</t>
        </is>
      </c>
      <c r="B72" s="15" t="inlineStr">
        <is>
          <t>1 kg</t>
        </is>
      </c>
      <c r="C72" s="32" t="n">
        <v>62</v>
      </c>
      <c r="D72" s="15" t="n">
        <v>1000</v>
      </c>
      <c r="E72" s="15" t="inlineStr">
        <is>
          <t>g</t>
        </is>
      </c>
      <c r="F72" s="44">
        <f>C72/D72</f>
        <v/>
      </c>
      <c r="G72" s="16">
        <f>F72*1000</f>
        <v/>
      </c>
    </row>
    <row r="73">
      <c r="A73" s="31" t="inlineStr">
        <is>
          <t>Paneer</t>
        </is>
      </c>
      <c r="B73" s="15" t="inlineStr">
        <is>
          <t>1 kg</t>
        </is>
      </c>
      <c r="C73" s="32" t="n">
        <v>280</v>
      </c>
      <c r="D73" s="15" t="n">
        <v>1000</v>
      </c>
      <c r="E73" s="15" t="inlineStr">
        <is>
          <t>g</t>
        </is>
      </c>
      <c r="F73" s="44">
        <f>C73/D73</f>
        <v/>
      </c>
      <c r="G73" s="16">
        <f>F73*1000</f>
        <v/>
      </c>
    </row>
    <row r="74">
      <c r="A74" s="31" t="inlineStr">
        <is>
          <t>Butter</t>
        </is>
      </c>
      <c r="B74" s="15" t="inlineStr">
        <is>
          <t>1 kg</t>
        </is>
      </c>
      <c r="C74" s="32" t="n">
        <v>540</v>
      </c>
      <c r="D74" s="15" t="n">
        <v>1000</v>
      </c>
      <c r="E74" s="15" t="inlineStr">
        <is>
          <t>g</t>
        </is>
      </c>
      <c r="F74" s="44">
        <f>C74/D74</f>
        <v/>
      </c>
      <c r="G74" s="16">
        <f>F74*1000</f>
        <v/>
      </c>
    </row>
    <row r="75">
      <c r="A75" s="31" t="inlineStr">
        <is>
          <t>Desi Ghee</t>
        </is>
      </c>
      <c r="B75" s="15" t="inlineStr">
        <is>
          <t>1 kg</t>
        </is>
      </c>
      <c r="C75" s="32" t="n">
        <v>493</v>
      </c>
      <c r="D75" s="15" t="n">
        <v>1000</v>
      </c>
      <c r="E75" s="15" t="inlineStr">
        <is>
          <t>g</t>
        </is>
      </c>
      <c r="F75" s="44">
        <f>C75/D75</f>
        <v/>
      </c>
      <c r="G75" s="16">
        <f>F75*1000</f>
        <v/>
      </c>
    </row>
    <row r="76">
      <c r="A76" s="31" t="inlineStr">
        <is>
          <t>Lal Khoya/Mawa</t>
        </is>
      </c>
      <c r="B76" s="15" t="inlineStr">
        <is>
          <t>1 kg</t>
        </is>
      </c>
      <c r="C76" s="32" t="n">
        <v>250</v>
      </c>
      <c r="D76" s="15" t="n">
        <v>1000</v>
      </c>
      <c r="E76" s="15" t="inlineStr">
        <is>
          <t>g</t>
        </is>
      </c>
      <c r="F76" s="44">
        <f>C76/D76</f>
        <v/>
      </c>
      <c r="G76" s="16">
        <f>F76*1000</f>
        <v/>
      </c>
    </row>
    <row r="77">
      <c r="A77" s="31" t="inlineStr">
        <is>
          <t>Safed Khoya/Mawa</t>
        </is>
      </c>
      <c r="B77" s="15" t="inlineStr">
        <is>
          <t>1 kg</t>
        </is>
      </c>
      <c r="C77" s="32" t="n">
        <v>230</v>
      </c>
      <c r="D77" s="15" t="n">
        <v>1000</v>
      </c>
      <c r="E77" s="15" t="inlineStr">
        <is>
          <t>g</t>
        </is>
      </c>
      <c r="F77" s="44">
        <f>C77/D77</f>
        <v/>
      </c>
      <c r="G77" s="16">
        <f>F77*1000</f>
        <v/>
      </c>
    </row>
    <row r="78">
      <c r="A78" s="31" t="inlineStr">
        <is>
          <t>Chai Patti</t>
        </is>
      </c>
      <c r="B78" s="15" t="inlineStr">
        <is>
          <t>1 kg</t>
        </is>
      </c>
      <c r="C78" s="32" t="n">
        <v>400</v>
      </c>
      <c r="D78" s="15" t="n">
        <v>1000</v>
      </c>
      <c r="E78" s="15" t="inlineStr">
        <is>
          <t>g</t>
        </is>
      </c>
      <c r="F78" s="44">
        <f>C78/D78</f>
        <v/>
      </c>
      <c r="G78" s="16">
        <f>F78*1000</f>
        <v/>
      </c>
    </row>
    <row r="79">
      <c r="A79" s="31" t="inlineStr">
        <is>
          <t>Gulaab Jal</t>
        </is>
      </c>
      <c r="B79" s="15" t="inlineStr">
        <is>
          <t>500 ml</t>
        </is>
      </c>
      <c r="C79" s="32" t="n">
        <v>40</v>
      </c>
      <c r="D79" s="15" t="n">
        <v>500</v>
      </c>
      <c r="E79" s="15" t="inlineStr">
        <is>
          <t>ml</t>
        </is>
      </c>
      <c r="F79" s="44">
        <f>C79/D79</f>
        <v/>
      </c>
      <c r="G79" s="16">
        <f>F79*1000</f>
        <v/>
      </c>
    </row>
    <row r="80">
      <c r="A80" s="31" t="inlineStr">
        <is>
          <t>Gulab Patti</t>
        </is>
      </c>
      <c r="B80" s="15" t="inlineStr">
        <is>
          <t>100 g</t>
        </is>
      </c>
      <c r="C80" s="32" t="n">
        <v>80</v>
      </c>
      <c r="D80" s="15" t="n">
        <v>100</v>
      </c>
      <c r="E80" s="15" t="inlineStr">
        <is>
          <t>g</t>
        </is>
      </c>
      <c r="F80" s="44">
        <f>C80/D80</f>
        <v/>
      </c>
      <c r="G80" s="16">
        <f>F80*1000</f>
        <v/>
      </c>
    </row>
    <row r="81">
      <c r="A81" s="31" t="inlineStr">
        <is>
          <t>Kesar Colour</t>
        </is>
      </c>
      <c r="B81" s="15" t="inlineStr">
        <is>
          <t>100 g</t>
        </is>
      </c>
      <c r="C81" s="32" t="n">
        <v>85</v>
      </c>
      <c r="D81" s="15" t="n">
        <v>100</v>
      </c>
      <c r="E81" s="15" t="inlineStr">
        <is>
          <t>g</t>
        </is>
      </c>
      <c r="F81" s="44">
        <f>C81/D81</f>
        <v/>
      </c>
      <c r="G81" s="16">
        <f>F81*1000</f>
        <v/>
      </c>
    </row>
    <row r="82">
      <c r="A82" s="31" t="inlineStr">
        <is>
          <t>Barik Sev</t>
        </is>
      </c>
      <c r="B82" s="15" t="inlineStr">
        <is>
          <t>1 kg</t>
        </is>
      </c>
      <c r="C82" s="32" t="n">
        <v>200</v>
      </c>
      <c r="D82" s="15" t="n">
        <v>1000</v>
      </c>
      <c r="E82" s="15" t="inlineStr">
        <is>
          <t>g</t>
        </is>
      </c>
      <c r="F82" s="44">
        <f>C82/D82</f>
        <v/>
      </c>
      <c r="G82" s="16">
        <f>F82*1000</f>
        <v/>
      </c>
    </row>
    <row r="83">
      <c r="A83" s="31" t="inlineStr">
        <is>
          <t>Bread</t>
        </is>
      </c>
      <c r="B83" s="15" t="inlineStr">
        <is>
          <t>1 pack (12 pc)</t>
        </is>
      </c>
      <c r="C83" s="32" t="n">
        <v>80</v>
      </c>
      <c r="D83" s="15" t="n">
        <v>12</v>
      </c>
      <c r="E83" s="15" t="inlineStr">
        <is>
          <t>pc</t>
        </is>
      </c>
      <c r="F83" s="44">
        <f>C83/D83</f>
        <v/>
      </c>
      <c r="G83" s="16">
        <f>F83*1</f>
        <v/>
      </c>
    </row>
    <row r="84">
      <c r="A84" s="31" t="inlineStr">
        <is>
          <t>Kulcha</t>
        </is>
      </c>
      <c r="B84" s="15" t="inlineStr">
        <is>
          <t>2 pc</t>
        </is>
      </c>
      <c r="C84" s="32" t="n">
        <v>20</v>
      </c>
      <c r="D84" s="15" t="n">
        <v>2</v>
      </c>
      <c r="E84" s="15" t="inlineStr">
        <is>
          <t>pc</t>
        </is>
      </c>
      <c r="F84" s="44">
        <f>C84/D84</f>
        <v/>
      </c>
      <c r="G84" s="16">
        <f>F84*1</f>
        <v/>
      </c>
    </row>
    <row r="85">
      <c r="A85" s="31" t="inlineStr">
        <is>
          <t>Atta Puri (bought)</t>
        </is>
      </c>
      <c r="B85" s="15" t="inlineStr">
        <is>
          <t>200 pc</t>
        </is>
      </c>
      <c r="C85" s="32" t="n">
        <v>130</v>
      </c>
      <c r="D85" s="15" t="n">
        <v>200</v>
      </c>
      <c r="E85" s="15" t="inlineStr">
        <is>
          <t>pc</t>
        </is>
      </c>
      <c r="F85" s="44">
        <f>C85/D85</f>
        <v/>
      </c>
      <c r="G85" s="16">
        <f>F85*1</f>
        <v/>
      </c>
    </row>
    <row r="86">
      <c r="A86" s="31" t="inlineStr">
        <is>
          <t>Chandi Barakh</t>
        </is>
      </c>
      <c r="B86" s="15" t="inlineStr">
        <is>
          <t>50 pc</t>
        </is>
      </c>
      <c r="C86" s="32" t="n">
        <v>400</v>
      </c>
      <c r="D86" s="15" t="n">
        <v>50</v>
      </c>
      <c r="E86" s="15" t="inlineStr">
        <is>
          <t>pc</t>
        </is>
      </c>
      <c r="F86" s="44">
        <f>C86/D86</f>
        <v/>
      </c>
      <c r="G86" s="16">
        <f>F86*1</f>
        <v/>
      </c>
    </row>
    <row r="87">
      <c r="A87" s="34" t="inlineStr">
        <is>
          <t>Ratlami Namkeen (resale)</t>
        </is>
      </c>
      <c r="B87" s="15" t="inlineStr">
        <is>
          <t>1 kg landed</t>
        </is>
      </c>
      <c r="C87" s="32" t="n">
        <v>210</v>
      </c>
      <c r="D87" s="15" t="n">
        <v>1000</v>
      </c>
      <c r="E87" s="15" t="inlineStr">
        <is>
          <t>g</t>
        </is>
      </c>
      <c r="F87" s="44">
        <f>C87/D87</f>
        <v/>
      </c>
      <c r="G87" s="16">
        <f>F87*1000</f>
        <v/>
      </c>
    </row>
    <row r="88">
      <c r="A88" s="34" t="inlineStr">
        <is>
          <t>Jeeravan (resale)</t>
        </is>
      </c>
      <c r="B88" s="15" t="inlineStr">
        <is>
          <t>1 kg</t>
        </is>
      </c>
      <c r="C88" s="32" t="n">
        <v>400</v>
      </c>
      <c r="D88" s="15" t="n">
        <v>1000</v>
      </c>
      <c r="E88" s="15" t="inlineStr">
        <is>
          <t>g</t>
        </is>
      </c>
      <c r="F88" s="44">
        <f>C88/D88</f>
        <v/>
      </c>
      <c r="G88" s="16">
        <f>F88*1000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35" t="inlineStr">
        <is>
          <t>ASSUMPTIONS — edit these; Channel Economics updates live</t>
        </is>
      </c>
    </row>
    <row r="3">
      <c r="A3" s="36" t="inlineStr">
        <is>
          <t>Cook method</t>
        </is>
      </c>
      <c r="B3" s="36" t="inlineStr">
        <is>
          <t>LPG ₹/plate</t>
        </is>
      </c>
    </row>
    <row r="4">
      <c r="A4" t="inlineStr">
        <is>
          <t>Deep-fry</t>
        </is>
      </c>
      <c r="B4" s="14" t="n">
        <v>3</v>
      </c>
    </row>
    <row r="5">
      <c r="A5" t="inlineStr">
        <is>
          <t>Tawa</t>
        </is>
      </c>
      <c r="B5" s="14" t="n">
        <v>2</v>
      </c>
    </row>
    <row r="6">
      <c r="A6" t="inlineStr">
        <is>
          <t>Simmer</t>
        </is>
      </c>
      <c r="B6" s="14" t="n">
        <v>2.5</v>
      </c>
    </row>
    <row r="7">
      <c r="A7" t="inlineStr">
        <is>
          <t>Milk-reduce</t>
        </is>
      </c>
      <c r="B7" s="14" t="n">
        <v>6</v>
      </c>
    </row>
    <row r="8">
      <c r="A8" t="inlineStr">
        <is>
          <t>Boil</t>
        </is>
      </c>
      <c r="B8" s="14" t="n">
        <v>1</v>
      </c>
    </row>
    <row r="9">
      <c r="A9" t="inlineStr">
        <is>
          <t>Assembled</t>
        </is>
      </c>
      <c r="B9" s="14" t="n">
        <v>0.3</v>
      </c>
    </row>
    <row r="11">
      <c r="A11" s="36" t="inlineStr">
        <is>
          <t>Packaging tier</t>
        </is>
      </c>
      <c r="B11" s="36" t="inlineStr">
        <is>
          <t>₹/order</t>
        </is>
      </c>
    </row>
    <row r="12">
      <c r="A12" t="inlineStr">
        <is>
          <t>None</t>
        </is>
      </c>
      <c r="B12" s="14" t="n">
        <v>0</v>
      </c>
    </row>
    <row r="13">
      <c r="A13" t="inlineStr">
        <is>
          <t>Small</t>
        </is>
      </c>
      <c r="B13" s="14" t="n">
        <v>6</v>
      </c>
    </row>
    <row r="14">
      <c r="A14" t="inlineStr">
        <is>
          <t>Medium</t>
        </is>
      </c>
      <c r="B14" s="14" t="n">
        <v>9</v>
      </c>
    </row>
    <row r="15">
      <c r="A15" t="inlineStr">
        <is>
          <t>Large</t>
        </is>
      </c>
      <c r="B15" s="14" t="n">
        <v>12</v>
      </c>
    </row>
    <row r="16">
      <c r="A16" t="inlineStr">
        <is>
          <t>SweetBox</t>
        </is>
      </c>
      <c r="B16" s="14" t="n">
        <v>8</v>
      </c>
    </row>
    <row r="17">
      <c r="A17" t="inlineStr">
        <is>
          <t>Cup</t>
        </is>
      </c>
      <c r="B17" s="14" t="n">
        <v>4</v>
      </c>
    </row>
    <row r="19">
      <c r="A19" t="inlineStr">
        <is>
          <t>Aggregator commission %</t>
        </is>
      </c>
      <c r="B19" s="37" t="n">
        <v>0.42</v>
      </c>
    </row>
    <row r="20">
      <c r="A20" t="inlineStr">
        <is>
          <t>Aggregator price markup (×)</t>
        </is>
      </c>
      <c r="B20" s="14" t="n">
        <v>1.25</v>
      </c>
    </row>
    <row r="22">
      <c r="A22" s="38" t="inlineStr">
        <is>
          <t>Notes:</t>
        </is>
      </c>
    </row>
    <row r="23">
      <c r="A23" s="5" t="inlineStr">
        <is>
          <t>• LPG ₹/plate are estimates — calibrate to your monthly commercial-LPG bill ÷ plates.</t>
        </is>
      </c>
    </row>
    <row r="24">
      <c r="A24" s="5" t="inlineStr">
        <is>
          <t>• Dine-in = no packaging (steel). Takeaway = packaging is our cost. Aggregator = packaging charged to customer (pass-through).</t>
        </is>
      </c>
    </row>
    <row r="25">
      <c r="A25" s="5" t="inlineStr">
        <is>
          <t>• Aggregator price prefilled at dine-in × markup. Replace the Agg Price column with REAL Zomato/PetPooja prices.</t>
        </is>
      </c>
    </row>
    <row r="26">
      <c r="A26" s="5" t="inlineStr">
        <is>
          <t>• Dressing/garnish allowance is folded into the Dressing column on Channel Economics.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</cols>
  <sheetData>
    <row r="1">
      <c r="A1" s="12" t="inlineStr">
        <is>
          <t>Item</t>
        </is>
      </c>
      <c r="B1" s="12" t="inlineStr">
        <is>
          <t>Landed Cost ₹/kg</t>
        </is>
      </c>
      <c r="C1" s="12" t="inlineStr">
        <is>
          <t>Pack</t>
        </is>
      </c>
      <c r="D1" s="12" t="inlineStr">
        <is>
          <t>Cost / Pack (₹)</t>
        </is>
      </c>
      <c r="E1" s="12" t="inlineStr">
        <is>
          <t>Dine-in Price (₹)</t>
        </is>
      </c>
      <c r="F1" s="12" t="inlineStr">
        <is>
          <t>Margin (₹)</t>
        </is>
      </c>
      <c r="G1" s="12" t="inlineStr">
        <is>
          <t>Margin %</t>
        </is>
      </c>
      <c r="H1" s="12" t="inlineStr">
        <is>
          <t>Aggregator Price</t>
        </is>
      </c>
    </row>
    <row r="2">
      <c r="A2" s="15" t="inlineStr">
        <is>
          <t>Ratlami Laung Sev</t>
        </is>
      </c>
      <c r="B2" s="32" t="n">
        <v>210</v>
      </c>
      <c r="C2" s="15" t="inlineStr">
        <is>
          <t>50 g</t>
        </is>
      </c>
      <c r="D2" s="16">
        <f>B2/1000*50</f>
        <v/>
      </c>
      <c r="E2" s="32" t="n">
        <v>25</v>
      </c>
      <c r="F2" s="16">
        <f>E2-D2</f>
        <v/>
      </c>
      <c r="G2" s="17">
        <f>IF(E2=0,"",(E2-D2)/E2)</f>
        <v/>
      </c>
      <c r="H2" s="39" t="inlineStr">
        <is>
          <t>(PetPooja/Zomato)</t>
        </is>
      </c>
    </row>
    <row r="3">
      <c r="A3" s="15" t="inlineStr">
        <is>
          <t>Ratlami Lehsun Sev</t>
        </is>
      </c>
      <c r="B3" s="32" t="n">
        <v>210</v>
      </c>
      <c r="C3" s="15" t="inlineStr">
        <is>
          <t>50 g</t>
        </is>
      </c>
      <c r="D3" s="16">
        <f>B3/1000*50</f>
        <v/>
      </c>
      <c r="E3" s="32" t="n">
        <v>25</v>
      </c>
      <c r="F3" s="16">
        <f>E3-D3</f>
        <v/>
      </c>
      <c r="G3" s="17">
        <f>IF(E3=0,"",(E3-D3)/E3)</f>
        <v/>
      </c>
      <c r="H3" s="39" t="inlineStr">
        <is>
          <t>(PetPooja/Zomato)</t>
        </is>
      </c>
    </row>
    <row r="4">
      <c r="A4" s="15" t="inlineStr">
        <is>
          <t>Ratlami Mixture</t>
        </is>
      </c>
      <c r="B4" s="32" t="n">
        <v>210</v>
      </c>
      <c r="C4" s="15" t="inlineStr">
        <is>
          <t>50 g</t>
        </is>
      </c>
      <c r="D4" s="16">
        <f>B4/1000*50</f>
        <v/>
      </c>
      <c r="E4" s="32" t="n">
        <v>25</v>
      </c>
      <c r="F4" s="16">
        <f>E4-D4</f>
        <v/>
      </c>
      <c r="G4" s="17">
        <f>IF(E4=0,"",(E4-D4)/E4)</f>
        <v/>
      </c>
      <c r="H4" s="39" t="inlineStr">
        <is>
          <t>(PetPooja/Zomato)</t>
        </is>
      </c>
    </row>
    <row r="5">
      <c r="A5" s="15" t="inlineStr">
        <is>
          <t>Fulwadi</t>
        </is>
      </c>
      <c r="B5" s="32" t="n">
        <v>210</v>
      </c>
      <c r="C5" s="15" t="inlineStr">
        <is>
          <t>50 g</t>
        </is>
      </c>
      <c r="D5" s="16">
        <f>B5/1000*50</f>
        <v/>
      </c>
      <c r="E5" s="32" t="n">
        <v>25</v>
      </c>
      <c r="F5" s="16">
        <f>E5-D5</f>
        <v/>
      </c>
      <c r="G5" s="17">
        <f>IF(E5=0,"",(E5-D5)/E5)</f>
        <v/>
      </c>
      <c r="H5" s="39" t="inlineStr">
        <is>
          <t>(PetPooja/Zomato)</t>
        </is>
      </c>
    </row>
    <row r="6">
      <c r="A6" s="15" t="inlineStr">
        <is>
          <t>Dalmoth</t>
        </is>
      </c>
      <c r="B6" s="32" t="n">
        <v>210</v>
      </c>
      <c r="C6" s="15" t="inlineStr">
        <is>
          <t>50 g</t>
        </is>
      </c>
      <c r="D6" s="16">
        <f>B6/1000*50</f>
        <v/>
      </c>
      <c r="E6" s="32" t="n">
        <v>25</v>
      </c>
      <c r="F6" s="16">
        <f>E6-D6</f>
        <v/>
      </c>
      <c r="G6" s="17">
        <f>IF(E6=0,"",(E6-D6)/E6)</f>
        <v/>
      </c>
      <c r="H6" s="39" t="inlineStr">
        <is>
          <t>(PetPooja/Zomato)</t>
        </is>
      </c>
    </row>
    <row r="7">
      <c r="A7" s="15" t="inlineStr">
        <is>
          <t>Chatpate</t>
        </is>
      </c>
      <c r="B7" s="32" t="n">
        <v>210</v>
      </c>
      <c r="C7" s="15" t="inlineStr">
        <is>
          <t>50 g</t>
        </is>
      </c>
      <c r="D7" s="16">
        <f>B7/1000*50</f>
        <v/>
      </c>
      <c r="E7" s="32" t="n">
        <v>25</v>
      </c>
      <c r="F7" s="16">
        <f>E7-D7</f>
        <v/>
      </c>
      <c r="G7" s="17">
        <f>IF(E7=0,"",(E7-D7)/E7)</f>
        <v/>
      </c>
      <c r="H7" s="39" t="inlineStr">
        <is>
          <t>(PetPooja/Zomato)</t>
        </is>
      </c>
    </row>
    <row r="8">
      <c r="A8" s="15" t="inlineStr">
        <is>
          <t>Jeeravan</t>
        </is>
      </c>
      <c r="B8" s="32" t="n">
        <v>400</v>
      </c>
      <c r="C8" s="15" t="inlineStr">
        <is>
          <t>50 g</t>
        </is>
      </c>
      <c r="D8" s="16">
        <f>B8/1000*50</f>
        <v/>
      </c>
      <c r="E8" s="32" t="n">
        <v>40</v>
      </c>
      <c r="F8" s="16">
        <f>E8-D8</f>
        <v/>
      </c>
      <c r="G8" s="17">
        <f>IF(E8=0,"",(E8-D8)/E8)</f>
        <v/>
      </c>
      <c r="H8" s="39" t="inlineStr">
        <is>
          <t>(PetPooja/Zomato)</t>
        </is>
      </c>
    </row>
    <row r="10">
      <c r="A10" s="4" t="inlineStr">
        <is>
          <t>Buy ₹180/kg + ₹30/kg transport = ₹210/kg landed. Board SKU = 50g @ ₹25 (also retail 250g @ ₹120). Verify aggregator on Zomato/PetPooja.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2026-06-16T16:16:21Z</dcterms:created>
  <dcterms:modified xsi:type="dcterms:W3CDTF">2026-08-06T19:38:31Z</dcterms:modified>
</cp:coreProperties>
</file>